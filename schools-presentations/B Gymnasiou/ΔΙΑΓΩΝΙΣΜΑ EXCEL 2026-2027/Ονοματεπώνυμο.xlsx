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ΣΧΟΛΙΚΗ ΧΡΟΝΙΑ 2025-2026 VARIOUS\ΔΙΑΓΩΝΙΣΜΑ EXCEL 2024-2025\"/>
    </mc:Choice>
  </mc:AlternateContent>
  <bookViews>
    <workbookView xWindow="-120" yWindow="-120" windowWidth="29040" windowHeight="15720" activeTab="8"/>
  </bookViews>
  <sheets>
    <sheet name="Sheet1" sheetId="4" r:id="rId1"/>
    <sheet name="Μορφοποίηση" sheetId="5" r:id="rId2"/>
    <sheet name="Στήλες και Γραμμές" sheetId="6" r:id="rId3"/>
    <sheet name="Αριθμοί" sheetId="7" r:id="rId4"/>
    <sheet name="Τύποι" sheetId="2" r:id="rId5"/>
    <sheet name="Συναρτήσεις" sheetId="3" r:id="rId6"/>
    <sheet name="Γραφήματα" sheetId="10" r:id="rId7"/>
    <sheet name="Γενικά" sheetId="11" r:id="rId8"/>
    <sheet name="Βαθμός" sheetId="12" r:id="rId9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C7" i="2"/>
  <c r="C8" i="2"/>
  <c r="C9" i="2"/>
  <c r="C10" i="2"/>
  <c r="C11" i="2"/>
  <c r="C12" i="2"/>
  <c r="C13" i="2"/>
  <c r="C14" i="2"/>
  <c r="C5" i="2"/>
  <c r="M3" i="12" l="1"/>
  <c r="G23" i="6"/>
  <c r="I10" i="5"/>
  <c r="E23" i="6"/>
  <c r="I8" i="5"/>
  <c r="G20" i="5" l="1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I9" i="5" l="1"/>
  <c r="I11" i="5" s="1"/>
</calcChain>
</file>

<file path=xl/sharedStrings.xml><?xml version="1.0" encoding="utf-8"?>
<sst xmlns="http://schemas.openxmlformats.org/spreadsheetml/2006/main" count="250" uniqueCount="211">
  <si>
    <t>Ημέρα</t>
  </si>
  <si>
    <t>Μέσος Όρος</t>
  </si>
  <si>
    <t>Δευτέρα</t>
  </si>
  <si>
    <t>Τρίτη</t>
  </si>
  <si>
    <t>Τετάρτη</t>
  </si>
  <si>
    <t>Πέμπτη</t>
  </si>
  <si>
    <t>Παρασκευή</t>
  </si>
  <si>
    <t>Σάββατο</t>
  </si>
  <si>
    <t>Κυριακή</t>
  </si>
  <si>
    <t>ΒΑΘΜΟΛΟΓΙΑ ΚΥΠΡΙΑΚΟΥ ΠΡΩΤΑΘΛΗΜΑΤΟΣ ΠΟΔΟΣΦΑΙΡΟΥ</t>
  </si>
  <si>
    <t>ΑΝΟΡΘΩΣΗ</t>
  </si>
  <si>
    <t>ΑΕΛ</t>
  </si>
  <si>
    <t>ΟΜΟΝΟΙΑ</t>
  </si>
  <si>
    <t>ΑΠΟΕΛ</t>
  </si>
  <si>
    <t>ΑΠΟΛΛΩΝ</t>
  </si>
  <si>
    <t>ΑΕΚ</t>
  </si>
  <si>
    <t>ΑΡΗΣ</t>
  </si>
  <si>
    <t>ΠΑΦΟΣ FC</t>
  </si>
  <si>
    <t>ΑΓΩΝΕΣ</t>
  </si>
  <si>
    <t>ΝΙΚΕΣ</t>
  </si>
  <si>
    <t>ΙΣΟΠΑΛΙΕΣ</t>
  </si>
  <si>
    <t>ΗΤΤΕΣ</t>
  </si>
  <si>
    <t>ΒΑΘΜΟΙ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</si>
  <si>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</si>
  <si>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</si>
  <si>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</si>
  <si>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</si>
  <si>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</si>
  <si>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</si>
  <si>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</si>
  <si>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</si>
  <si>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</si>
  <si>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</si>
  <si>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ΠΟΣΟΣΤΟ ΕΠΙΤΥΧΙΑΣ</t>
  </si>
  <si>
    <t>ΝΙΚΕΣ / ΑΓΩΝΕΣ</t>
  </si>
  <si>
    <t>ΝΙΚΗ</t>
  </si>
  <si>
    <t>ΙΣΟΠΑΛΙΑ</t>
  </si>
  <si>
    <t>Στρογγυλοποίηση</t>
  </si>
  <si>
    <t>ΘΕΡΜΟΚΡΑΣΙΕΣ ΕΒΔΟΜΑΔΑΣ</t>
  </si>
  <si>
    <t>Υψηλότερη</t>
  </si>
  <si>
    <t>Χαμηλότερη</t>
  </si>
  <si>
    <t>Πλήθος Κελιών με αριθμούς</t>
  </si>
  <si>
    <t>Αποτελέσματα Εξέτασης Υπολογιστικών Φύλλων</t>
  </si>
  <si>
    <t>Όνομα</t>
  </si>
  <si>
    <t>ΑΜ</t>
  </si>
  <si>
    <t>Τμήμα</t>
  </si>
  <si>
    <t>Βαθμός</t>
  </si>
  <si>
    <t>Pass/Fail</t>
  </si>
  <si>
    <t>Στατιστικά</t>
  </si>
  <si>
    <t>Αβραάμ</t>
  </si>
  <si>
    <t>Ελπίδα</t>
  </si>
  <si>
    <t>Β1</t>
  </si>
  <si>
    <t>Ανδρέου</t>
  </si>
  <si>
    <t>Γιώργος</t>
  </si>
  <si>
    <t>Βλάχος</t>
  </si>
  <si>
    <t>Ιωάννης</t>
  </si>
  <si>
    <t>Γεωργίου</t>
  </si>
  <si>
    <t>Ίριδα</t>
  </si>
  <si>
    <t>Δημητρίου</t>
  </si>
  <si>
    <t>Ανδρέας</t>
  </si>
  <si>
    <t>Ηλία</t>
  </si>
  <si>
    <t>Θεοδώρα</t>
  </si>
  <si>
    <t>Ιωάννου</t>
  </si>
  <si>
    <t>Παύλος</t>
  </si>
  <si>
    <t>Κυριάκου</t>
  </si>
  <si>
    <t>Χρήστος</t>
  </si>
  <si>
    <t>Μαρίνου</t>
  </si>
  <si>
    <t>Νικολάου</t>
  </si>
  <si>
    <t>Νίκος</t>
  </si>
  <si>
    <t>Σάββα</t>
  </si>
  <si>
    <t>Μαρία</t>
  </si>
  <si>
    <t>Σολομώντος</t>
  </si>
  <si>
    <t>Σάββας</t>
  </si>
  <si>
    <t>Χριστοδούλου</t>
  </si>
  <si>
    <t>Αναστάσιος</t>
  </si>
  <si>
    <t>Β2</t>
  </si>
  <si>
    <t>Αντωνίου</t>
  </si>
  <si>
    <t>Δημήτρης</t>
  </si>
  <si>
    <t>Φλωρεντία</t>
  </si>
  <si>
    <t>Δαμιανού</t>
  </si>
  <si>
    <t>Νίκη</t>
  </si>
  <si>
    <t>Ευστρατίου</t>
  </si>
  <si>
    <t>Επώνυμο</t>
  </si>
  <si>
    <t>Συμμετέχοντες:</t>
  </si>
  <si>
    <t>Επιτυχόντες:</t>
  </si>
  <si>
    <t>Απέτυχαν:</t>
  </si>
  <si>
    <t>Ποσοστό επιτυχίας:</t>
  </si>
  <si>
    <t>Α/Α</t>
  </si>
  <si>
    <t>Εξετάσεις Ιουνίου 2021</t>
  </si>
  <si>
    <t>Τμήμα:</t>
  </si>
  <si>
    <t>Α.Κ.</t>
  </si>
  <si>
    <t>Αναστάση</t>
  </si>
  <si>
    <t>Αντωνία</t>
  </si>
  <si>
    <t>Βασιλείου</t>
  </si>
  <si>
    <t>Στέφανος</t>
  </si>
  <si>
    <t>Μάριος</t>
  </si>
  <si>
    <t>Στυλιανή</t>
  </si>
  <si>
    <t>Ευαγγέλου</t>
  </si>
  <si>
    <t>Ραφαήλ</t>
  </si>
  <si>
    <t>Καουράνη</t>
  </si>
  <si>
    <t>Αναστασία</t>
  </si>
  <si>
    <t>Κωνσταντή</t>
  </si>
  <si>
    <t>Σταύρος</t>
  </si>
  <si>
    <t>Κωνσταντίνου</t>
  </si>
  <si>
    <t>Κατερίνα</t>
  </si>
  <si>
    <t>Λουκά</t>
  </si>
  <si>
    <t>Μιχαλάκης</t>
  </si>
  <si>
    <t>Μιχαήλ</t>
  </si>
  <si>
    <t>Χριστίνα</t>
  </si>
  <si>
    <t>Παναγή</t>
  </si>
  <si>
    <t>Χριστιάνα</t>
  </si>
  <si>
    <t>Σταύρου</t>
  </si>
  <si>
    <t>Φάντη</t>
  </si>
  <si>
    <t>Χαραλάμπους</t>
  </si>
  <si>
    <t>Άννα</t>
  </si>
  <si>
    <t>Χατζηιωάννου</t>
  </si>
  <si>
    <t>Λουκία</t>
  </si>
  <si>
    <t>Χρυσάνθου</t>
  </si>
  <si>
    <t>Μ.Ο.</t>
  </si>
  <si>
    <t>ΥΠΟΛΟΓΙΣΜΟΣ ΒΑΘΜΟΛΟΓΙΑΣ</t>
  </si>
  <si>
    <t>=(ΝΙΚΕΣ * ΒΑΘΜΟΙ ΝΙΚΗΣ) + (ΙΣΟΠΑΛΙΕΣ * ΒΑΘΜΟΙ ΙΣΟΠΑΛΙΑΣ)</t>
  </si>
  <si>
    <t>* ΘΑ ΠΡΕΠΕΙ ΝΑ ΧΡΗΣΙΜΟΠΟΙΗΘΕΙ ΑΠΟΛΥΤΗ ΑΝΑΦΟΡΑ $</t>
  </si>
  <si>
    <t>Χρηματικό ποσό</t>
  </si>
  <si>
    <t>Δεκαδικοί</t>
  </si>
  <si>
    <t>Ποσοστά</t>
  </si>
  <si>
    <t>Ομάδα</t>
  </si>
  <si>
    <t>Νίκες</t>
  </si>
  <si>
    <t>Ήττες</t>
  </si>
  <si>
    <t>Boston Celtics</t>
  </si>
  <si>
    <t>Golden State Warriors</t>
  </si>
  <si>
    <t>Houston Rockets</t>
  </si>
  <si>
    <t>Cleveland Cavaliers</t>
  </si>
  <si>
    <t>San Antonio Spurs</t>
  </si>
  <si>
    <t>Toronto Raptors</t>
  </si>
  <si>
    <t>Minnesota Timberwolves</t>
  </si>
  <si>
    <t>Κατάταξη πρωταθλήματος NBA 2024-2025</t>
  </si>
  <si>
    <r>
      <t>1</t>
    </r>
    <r>
      <rPr>
        <vertAlign val="superscript"/>
        <sz val="18"/>
        <rFont val="Arial"/>
        <family val="2"/>
        <charset val="161"/>
      </rPr>
      <t>ο</t>
    </r>
    <r>
      <rPr>
        <sz val="18"/>
        <rFont val="Arial"/>
        <family val="2"/>
      </rPr>
      <t xml:space="preserve"> Τετράμηνο</t>
    </r>
  </si>
  <si>
    <r>
      <t>2</t>
    </r>
    <r>
      <rPr>
        <vertAlign val="superscript"/>
        <sz val="18"/>
        <rFont val="Arial"/>
        <family val="2"/>
        <charset val="161"/>
      </rPr>
      <t>ο</t>
    </r>
    <r>
      <rPr>
        <sz val="18"/>
        <rFont val="Arial"/>
        <family val="2"/>
      </rPr>
      <t xml:space="preserve"> Τετράμηνο</t>
    </r>
  </si>
  <si>
    <t>Αριθμός</t>
  </si>
  <si>
    <t>Ονοματεπώνυμο</t>
  </si>
  <si>
    <t>Βαθμός Διαγωνίσματος</t>
  </si>
  <si>
    <t>Μιχαήλ Αντρέας</t>
  </si>
  <si>
    <t>Άννα Ιακώβου</t>
  </si>
  <si>
    <t>Μάριος Ηλίας</t>
  </si>
  <si>
    <t>Ελίνα ιακώβου</t>
  </si>
  <si>
    <t>Άντρη Σωκράτους</t>
  </si>
  <si>
    <t>Μαρίνος Αντρέου</t>
  </si>
  <si>
    <t>Κώστας Δημητρίου</t>
  </si>
  <si>
    <t>Νίκος Παπαβασιλείου</t>
  </si>
  <si>
    <t>Μάθημα:</t>
  </si>
  <si>
    <t>Πληροφορική</t>
  </si>
  <si>
    <t>Τάξη:</t>
  </si>
  <si>
    <t>Β'3</t>
  </si>
  <si>
    <t>ΓΥΜΝΑΣΙΟ ΖΑΚΑΚΙΟΥ</t>
  </si>
  <si>
    <t>Διαγώνισμα Α΄ Τετραμήνου</t>
  </si>
  <si>
    <r>
      <rPr>
        <b/>
        <sz val="12"/>
        <color theme="1"/>
        <rFont val="Calibri"/>
        <family val="2"/>
        <charset val="161"/>
      </rPr>
      <t>Μάθημα:</t>
    </r>
    <r>
      <rPr>
        <sz val="12"/>
        <color theme="1"/>
        <rFont val="Calibri"/>
        <family val="2"/>
        <charset val="161"/>
      </rPr>
      <t xml:space="preserve"> Πληροφορική</t>
    </r>
  </si>
  <si>
    <t>Βαθμός:</t>
  </si>
  <si>
    <r>
      <rPr>
        <b/>
        <sz val="12"/>
        <color theme="1"/>
        <rFont val="Calibri"/>
        <family val="2"/>
        <charset val="161"/>
      </rPr>
      <t>Καθηγητής:</t>
    </r>
    <r>
      <rPr>
        <sz val="12"/>
        <color theme="1"/>
        <rFont val="Calibri"/>
        <family val="2"/>
        <charset val="161"/>
      </rPr>
      <t xml:space="preserve"> Καρακατσιάνης Παναγιώτης</t>
    </r>
  </si>
  <si>
    <r>
      <rPr>
        <b/>
        <sz val="12"/>
        <color theme="1"/>
        <rFont val="Calibri"/>
        <family val="2"/>
        <charset val="161"/>
      </rPr>
      <t>Θέμα:</t>
    </r>
    <r>
      <rPr>
        <sz val="12"/>
        <color theme="1"/>
        <rFont val="Calibri"/>
        <family val="2"/>
        <charset val="161"/>
      </rPr>
      <t xml:space="preserve"> </t>
    </r>
    <r>
      <rPr>
        <u/>
        <sz val="12"/>
        <color theme="1"/>
        <rFont val="Calibri"/>
        <family val="2"/>
        <charset val="161"/>
      </rPr>
      <t>Υπολογιστικά Φύλλα – MS-Excel</t>
    </r>
  </si>
  <si>
    <r>
      <rPr>
        <b/>
        <sz val="12"/>
        <color theme="1"/>
        <rFont val="Calibri"/>
        <family val="2"/>
        <charset val="161"/>
      </rPr>
      <t>Όνομα Μαθητή:</t>
    </r>
    <r>
      <rPr>
        <sz val="12"/>
        <color theme="1"/>
        <rFont val="Calibri"/>
        <family val="2"/>
        <charset val="161"/>
      </rPr>
      <t xml:space="preserve"> …...............................................</t>
    </r>
  </si>
  <si>
    <r>
      <rPr>
        <b/>
        <sz val="12"/>
        <color theme="1"/>
        <rFont val="Calibri"/>
        <family val="2"/>
        <charset val="161"/>
      </rPr>
      <t>Διάρκεια:</t>
    </r>
    <r>
      <rPr>
        <sz val="12"/>
        <color theme="1"/>
        <rFont val="Calibri"/>
        <family val="2"/>
        <charset val="161"/>
      </rPr>
      <t xml:space="preserve"> 40'</t>
    </r>
  </si>
  <si>
    <r>
      <rPr>
        <b/>
        <sz val="12"/>
        <color theme="1"/>
        <rFont val="Calibri"/>
        <family val="2"/>
        <charset val="161"/>
      </rPr>
      <t>Υπογραφή Κηδ.:</t>
    </r>
    <r>
      <rPr>
        <sz val="12"/>
        <color theme="1"/>
        <rFont val="Calibri"/>
        <family val="2"/>
        <charset val="161"/>
      </rPr>
      <t xml:space="preserve"> ....................</t>
    </r>
  </si>
  <si>
    <t>Να εκτελέσετε στον Η/Υ σας τις πιο κάτω ενέργειες.</t>
  </si>
  <si>
    <t xml:space="preserve"> Οι ενέργειες 2 μέχρι 21 βαθμολογούνται με μια (1) μονάδα η κάθε μια.</t>
  </si>
  <si>
    <r>
      <rPr>
        <b/>
        <sz val="12"/>
        <color theme="1"/>
        <rFont val="Calibri"/>
        <family val="2"/>
        <charset val="161"/>
      </rPr>
      <t>1</t>
    </r>
    <r>
      <rPr>
        <sz val="12"/>
        <color theme="1"/>
        <rFont val="Calibri"/>
        <family val="2"/>
        <charset val="161"/>
      </rPr>
      <t>.</t>
    </r>
    <r>
      <rPr>
        <b/>
        <sz val="12"/>
        <color theme="1"/>
        <rFont val="Calibri"/>
        <family val="2"/>
        <charset val="161"/>
      </rPr>
      <t xml:space="preserve"> Ανοίξετε</t>
    </r>
    <r>
      <rPr>
        <sz val="12"/>
        <color theme="1"/>
        <rFont val="Calibri"/>
        <family val="2"/>
        <charset val="161"/>
      </rPr>
      <t xml:space="preserve"> το αρχείο </t>
    </r>
    <r>
      <rPr>
        <b/>
        <sz val="12"/>
        <color theme="1"/>
        <rFont val="Calibri"/>
        <family val="2"/>
        <charset val="161"/>
      </rPr>
      <t>Ονοματεπώνυμο.xlsx</t>
    </r>
    <r>
      <rPr>
        <sz val="12"/>
        <color theme="1"/>
        <rFont val="Calibri"/>
        <family val="2"/>
        <charset val="161"/>
      </rPr>
      <t xml:space="preserve"> που βρίσκεται αποθηκευμένο στο φάκελό σας.</t>
    </r>
  </si>
  <si>
    <r>
      <rPr>
        <b/>
        <sz val="12"/>
        <color theme="1"/>
        <rFont val="Calibri"/>
        <family val="2"/>
        <charset val="161"/>
      </rPr>
      <t>2</t>
    </r>
    <r>
      <rPr>
        <sz val="12"/>
        <color theme="1"/>
        <rFont val="Calibri"/>
        <family val="2"/>
        <charset val="161"/>
      </rPr>
      <t xml:space="preserve">. Να </t>
    </r>
    <r>
      <rPr>
        <b/>
        <sz val="12"/>
        <color theme="1"/>
        <rFont val="Calibri"/>
        <family val="2"/>
        <charset val="161"/>
      </rPr>
      <t>μετονομάσετε</t>
    </r>
    <r>
      <rPr>
        <sz val="12"/>
        <color theme="1"/>
        <rFont val="Calibri"/>
        <family val="2"/>
        <charset val="161"/>
      </rPr>
      <t xml:space="preserve"> το όνομα του φύλλου εργασίας </t>
    </r>
    <r>
      <rPr>
        <b/>
        <sz val="12"/>
        <color theme="1"/>
        <rFont val="Calibri"/>
        <family val="2"/>
        <charset val="161"/>
      </rPr>
      <t>Sheet1</t>
    </r>
    <r>
      <rPr>
        <sz val="12"/>
        <color theme="1"/>
        <rFont val="Calibri"/>
        <family val="2"/>
        <charset val="161"/>
      </rPr>
      <t xml:space="preserve"> σε </t>
    </r>
    <r>
      <rPr>
        <b/>
        <sz val="12"/>
        <color theme="1"/>
        <rFont val="Calibri"/>
        <family val="2"/>
        <charset val="161"/>
      </rPr>
      <t>Διαγώνισμα</t>
    </r>
    <r>
      <rPr>
        <sz val="12"/>
        <color theme="1"/>
        <rFont val="Calibri"/>
        <family val="2"/>
        <charset val="161"/>
      </rPr>
      <t>.</t>
    </r>
  </si>
  <si>
    <r>
      <rPr>
        <b/>
        <sz val="12"/>
        <color theme="1"/>
        <rFont val="Calibri"/>
        <family val="2"/>
        <charset val="161"/>
      </rPr>
      <t>3</t>
    </r>
    <r>
      <rPr>
        <sz val="12"/>
        <color theme="1"/>
        <rFont val="Calibri"/>
        <family val="2"/>
        <charset val="161"/>
      </rPr>
      <t xml:space="preserve">. Στο sheet </t>
    </r>
    <r>
      <rPr>
        <b/>
        <sz val="12"/>
        <color theme="1"/>
        <rFont val="Calibri"/>
        <family val="2"/>
        <charset val="161"/>
      </rPr>
      <t xml:space="preserve">Μορφοποίηση, </t>
    </r>
    <r>
      <rPr>
        <sz val="12"/>
        <color theme="1"/>
        <rFont val="Calibri"/>
        <family val="2"/>
        <charset val="161"/>
      </rPr>
      <t>να εφαρμόσετε στο περιεχόμενο του κελιού Α1:</t>
    </r>
  </si>
  <si>
    <t>• Γραμματοσειρά Arial</t>
  </si>
  <si>
    <t>• Έντονη γραφή</t>
  </si>
  <si>
    <t>• Διπλή υπογράμμιση</t>
  </si>
  <si>
    <t>• Μέγεθος γραμματοσειράς 15 στιγμών</t>
  </si>
  <si>
    <t>• Μπλε χρώμα γραμματοσειράς</t>
  </si>
  <si>
    <r>
      <rPr>
        <b/>
        <sz val="12"/>
        <color theme="1"/>
        <rFont val="Calibri"/>
        <family val="2"/>
        <charset val="161"/>
      </rPr>
      <t>4</t>
    </r>
    <r>
      <rPr>
        <sz val="12"/>
        <color theme="1"/>
        <rFont val="Calibri"/>
        <family val="2"/>
        <charset val="161"/>
      </rPr>
      <t xml:space="preserve">. Στο sheet </t>
    </r>
    <r>
      <rPr>
        <b/>
        <sz val="12"/>
        <color theme="1"/>
        <rFont val="Calibri"/>
        <family val="2"/>
        <charset val="161"/>
      </rPr>
      <t>Μορφοποίηση</t>
    </r>
    <r>
      <rPr>
        <sz val="12"/>
        <color theme="1"/>
        <rFont val="Calibri"/>
        <family val="2"/>
        <charset val="161"/>
      </rPr>
      <t>, να</t>
    </r>
    <r>
      <rPr>
        <b/>
        <sz val="12"/>
        <color theme="1"/>
        <rFont val="Calibri"/>
        <family val="2"/>
        <charset val="161"/>
      </rPr>
      <t xml:space="preserve"> αντιγράψετε τη μορφοποίηση </t>
    </r>
    <r>
      <rPr>
        <sz val="12"/>
        <color theme="1"/>
        <rFont val="Calibri"/>
        <family val="2"/>
        <charset val="161"/>
      </rPr>
      <t>του κελιού A1 στο κελί H7.</t>
    </r>
  </si>
  <si>
    <r>
      <rPr>
        <b/>
        <sz val="12"/>
        <color theme="1"/>
        <rFont val="Calibri"/>
        <family val="2"/>
        <charset val="161"/>
      </rPr>
      <t>5.</t>
    </r>
    <r>
      <rPr>
        <sz val="12"/>
        <color theme="1"/>
        <rFont val="Calibri"/>
        <family val="2"/>
        <charset val="161"/>
      </rPr>
      <t xml:space="preserve"> Στο sheet </t>
    </r>
    <r>
      <rPr>
        <b/>
        <sz val="12"/>
        <color theme="1"/>
        <rFont val="Calibri"/>
        <family val="2"/>
        <charset val="161"/>
      </rPr>
      <t>Μορφοποίηση</t>
    </r>
    <r>
      <rPr>
        <sz val="12"/>
        <color theme="1"/>
        <rFont val="Calibri"/>
        <family val="2"/>
        <charset val="161"/>
      </rPr>
      <t xml:space="preserve">, να εφαρμόσετε στην περιοχή κελιών Α2:G20 </t>
    </r>
    <r>
      <rPr>
        <b/>
        <sz val="12"/>
        <color theme="1"/>
        <rFont val="Calibri"/>
        <family val="2"/>
        <charset val="161"/>
      </rPr>
      <t>εξωτερικό περίγραμμα</t>
    </r>
    <r>
      <rPr>
        <sz val="12"/>
        <color theme="1"/>
        <rFont val="Calibri"/>
        <family val="2"/>
        <charset val="161"/>
      </rPr>
      <t xml:space="preserve">, </t>
    </r>
  </si>
  <si>
    <r>
      <t>χρησιμοποιώντας Δ</t>
    </r>
    <r>
      <rPr>
        <b/>
        <sz val="12"/>
        <color theme="1"/>
        <rFont val="Calibri"/>
        <family val="2"/>
        <charset val="161"/>
      </rPr>
      <t>ιπλή γραμμή Κόκκινου χρώματος</t>
    </r>
    <r>
      <rPr>
        <sz val="12"/>
        <color theme="1"/>
        <rFont val="Calibri"/>
        <family val="2"/>
        <charset val="161"/>
      </rPr>
      <t>.</t>
    </r>
  </si>
  <si>
    <r>
      <rPr>
        <b/>
        <sz val="12"/>
        <color theme="1"/>
        <rFont val="Calibri"/>
        <family val="2"/>
        <charset val="161"/>
      </rPr>
      <t>6</t>
    </r>
    <r>
      <rPr>
        <sz val="12"/>
        <color theme="1"/>
        <rFont val="Calibri"/>
        <family val="2"/>
        <charset val="161"/>
      </rPr>
      <t xml:space="preserve">. Στο sheet </t>
    </r>
    <r>
      <rPr>
        <b/>
        <sz val="12"/>
        <color theme="1"/>
        <rFont val="Calibri"/>
        <family val="2"/>
        <charset val="161"/>
      </rPr>
      <t>Μορφοποίηση</t>
    </r>
    <r>
      <rPr>
        <sz val="12"/>
        <color theme="1"/>
        <rFont val="Calibri"/>
        <family val="2"/>
        <charset val="161"/>
      </rPr>
      <t xml:space="preserve">, να εφαρμόσετε </t>
    </r>
    <r>
      <rPr>
        <b/>
        <sz val="12"/>
        <color theme="1"/>
        <rFont val="Calibri"/>
        <family val="2"/>
        <charset val="161"/>
      </rPr>
      <t>Συγχώνευση και Στοίχιση στο Κέντρο</t>
    </r>
    <r>
      <rPr>
        <sz val="12"/>
        <color theme="1"/>
        <rFont val="Calibri"/>
        <family val="2"/>
        <charset val="161"/>
      </rPr>
      <t xml:space="preserve"> την περιοχή κελιών Α1:I1.</t>
    </r>
  </si>
  <si>
    <r>
      <rPr>
        <b/>
        <sz val="12"/>
        <color theme="1"/>
        <rFont val="Calibri"/>
        <family val="2"/>
        <charset val="161"/>
      </rPr>
      <t>7</t>
    </r>
    <r>
      <rPr>
        <sz val="12"/>
        <color theme="1"/>
        <rFont val="Calibri"/>
        <family val="2"/>
        <charset val="161"/>
      </rPr>
      <t xml:space="preserve">. Στο  sheet </t>
    </r>
    <r>
      <rPr>
        <b/>
        <sz val="12"/>
        <color theme="1"/>
        <rFont val="Calibri"/>
        <family val="2"/>
        <charset val="161"/>
      </rPr>
      <t>Μορφοποίηση</t>
    </r>
    <r>
      <rPr>
        <sz val="12"/>
        <color theme="1"/>
        <rFont val="Calibri"/>
        <family val="2"/>
        <charset val="161"/>
      </rPr>
      <t xml:space="preserve">, </t>
    </r>
    <r>
      <rPr>
        <sz val="12"/>
        <color rgb="FF000000"/>
        <rFont val="Calibri"/>
        <family val="2"/>
        <charset val="161"/>
      </rPr>
      <t xml:space="preserve">να εφαρμόσετε </t>
    </r>
    <r>
      <rPr>
        <b/>
        <sz val="12"/>
        <color rgb="FF000000"/>
        <rFont val="Calibri"/>
        <family val="2"/>
        <charset val="161"/>
      </rPr>
      <t>αναδίπλωση κειμένου</t>
    </r>
    <r>
      <rPr>
        <sz val="12"/>
        <color rgb="FF000000"/>
        <rFont val="Calibri"/>
        <family val="2"/>
        <charset val="161"/>
      </rPr>
      <t xml:space="preserve"> στο περιεχόμενο του κελιού G2.</t>
    </r>
  </si>
  <si>
    <r>
      <rPr>
        <b/>
        <sz val="12"/>
        <color theme="1"/>
        <rFont val="Calibri"/>
        <family val="2"/>
        <charset val="161"/>
      </rPr>
      <t>8</t>
    </r>
    <r>
      <rPr>
        <sz val="12"/>
        <color theme="1"/>
        <rFont val="Calibri"/>
        <family val="2"/>
        <charset val="161"/>
      </rPr>
      <t xml:space="preserve">. Στο sheet </t>
    </r>
    <r>
      <rPr>
        <b/>
        <sz val="12"/>
        <color theme="1"/>
        <rFont val="Calibri"/>
        <family val="2"/>
        <charset val="161"/>
      </rPr>
      <t>Στήλες και Γραμμές</t>
    </r>
    <r>
      <rPr>
        <sz val="12"/>
        <color theme="1"/>
        <rFont val="Calibri"/>
        <family val="2"/>
        <charset val="161"/>
      </rPr>
      <t xml:space="preserve">, να αλλάξετε το </t>
    </r>
    <r>
      <rPr>
        <b/>
        <sz val="12"/>
        <color theme="1"/>
        <rFont val="Calibri"/>
        <family val="2"/>
        <charset val="161"/>
      </rPr>
      <t>πλάτος της στήλης D</t>
    </r>
    <r>
      <rPr>
        <sz val="12"/>
        <color theme="1"/>
        <rFont val="Calibri"/>
        <family val="2"/>
        <charset val="161"/>
      </rPr>
      <t xml:space="preserve"> σε 12 και το </t>
    </r>
    <r>
      <rPr>
        <b/>
        <sz val="12"/>
        <color theme="1"/>
        <rFont val="Calibri"/>
        <family val="2"/>
        <charset val="161"/>
      </rPr>
      <t>ύψος της γραμμής 1</t>
    </r>
    <r>
      <rPr>
        <sz val="12"/>
        <color theme="1"/>
        <rFont val="Calibri"/>
        <family val="2"/>
        <charset val="161"/>
      </rPr>
      <t xml:space="preserve"> σε 20.</t>
    </r>
  </si>
  <si>
    <r>
      <rPr>
        <b/>
        <sz val="12"/>
        <color theme="1"/>
        <rFont val="Calibri"/>
        <family val="2"/>
        <charset val="161"/>
      </rPr>
      <t>9</t>
    </r>
    <r>
      <rPr>
        <sz val="12"/>
        <color theme="1"/>
        <rFont val="Calibri"/>
        <family val="2"/>
        <charset val="161"/>
      </rPr>
      <t xml:space="preserve">. Στο sheet </t>
    </r>
    <r>
      <rPr>
        <b/>
        <sz val="12"/>
        <color theme="1"/>
        <rFont val="Calibri"/>
        <family val="2"/>
        <charset val="161"/>
      </rPr>
      <t>Στήλες και Γραμμές</t>
    </r>
    <r>
      <rPr>
        <sz val="12"/>
        <color theme="1"/>
        <rFont val="Calibri"/>
        <family val="2"/>
        <charset val="161"/>
      </rPr>
      <t xml:space="preserve">, να </t>
    </r>
    <r>
      <rPr>
        <b/>
        <sz val="12"/>
        <color theme="1"/>
        <rFont val="Calibri"/>
        <family val="2"/>
        <charset val="161"/>
      </rPr>
      <t>προσθέσετε μια κενή γραμμή (Row)</t>
    </r>
    <r>
      <rPr>
        <sz val="12"/>
        <color theme="1"/>
        <rFont val="Calibri"/>
        <family val="2"/>
        <charset val="161"/>
      </rPr>
      <t xml:space="preserve"> μεταξύ των γραμμών 2 και 3.</t>
    </r>
  </si>
  <si>
    <r>
      <rPr>
        <b/>
        <sz val="12"/>
        <color theme="1"/>
        <rFont val="Calibri"/>
        <family val="2"/>
        <charset val="161"/>
      </rPr>
      <t>10</t>
    </r>
    <r>
      <rPr>
        <sz val="12"/>
        <color theme="1"/>
        <rFont val="Calibri"/>
        <family val="2"/>
        <charset val="161"/>
      </rPr>
      <t xml:space="preserve">. Στο sheet </t>
    </r>
    <r>
      <rPr>
        <b/>
        <sz val="12"/>
        <color theme="1"/>
        <rFont val="Calibri"/>
        <family val="2"/>
        <charset val="161"/>
      </rPr>
      <t>Στήλες και Γραμμές</t>
    </r>
    <r>
      <rPr>
        <sz val="12"/>
        <color theme="1"/>
        <rFont val="Calibri"/>
        <family val="2"/>
        <charset val="161"/>
      </rPr>
      <t xml:space="preserve">, να </t>
    </r>
    <r>
      <rPr>
        <b/>
        <sz val="12"/>
        <color theme="1"/>
        <rFont val="Calibri"/>
        <family val="2"/>
        <charset val="161"/>
      </rPr>
      <t>διαγράψετε την στήλη</t>
    </r>
    <r>
      <rPr>
        <sz val="12"/>
        <color theme="1"/>
        <rFont val="Calibri"/>
        <family val="2"/>
        <charset val="161"/>
      </rPr>
      <t xml:space="preserve"> F.</t>
    </r>
  </si>
  <si>
    <r>
      <rPr>
        <b/>
        <sz val="12"/>
        <color theme="1"/>
        <rFont val="Calibri"/>
        <family val="2"/>
        <charset val="161"/>
      </rPr>
      <t>11</t>
    </r>
    <r>
      <rPr>
        <sz val="12"/>
        <color theme="1"/>
        <rFont val="Calibri"/>
        <family val="2"/>
        <charset val="161"/>
      </rPr>
      <t xml:space="preserve">. Στο sheet  </t>
    </r>
    <r>
      <rPr>
        <b/>
        <sz val="12"/>
        <color theme="1"/>
        <rFont val="Calibri"/>
        <family val="2"/>
        <charset val="161"/>
      </rPr>
      <t>Αριθμοί</t>
    </r>
    <r>
      <rPr>
        <sz val="12"/>
        <color theme="1"/>
        <rFont val="Calibri"/>
        <family val="2"/>
        <charset val="161"/>
      </rPr>
      <t>,</t>
    </r>
    <r>
      <rPr>
        <b/>
        <sz val="12"/>
        <color theme="1"/>
        <rFont val="Calibri"/>
        <family val="2"/>
        <charset val="161"/>
      </rPr>
      <t xml:space="preserve"> </t>
    </r>
    <r>
      <rPr>
        <sz val="12"/>
        <color theme="1"/>
        <rFont val="Calibri"/>
        <family val="2"/>
        <charset val="161"/>
      </rPr>
      <t xml:space="preserve">στα κελιά Α2:Α6 να μετατραπούν τα δεδομένα σε </t>
    </r>
    <r>
      <rPr>
        <b/>
        <sz val="12"/>
        <color theme="1"/>
        <rFont val="Calibri"/>
        <family val="2"/>
        <charset val="161"/>
      </rPr>
      <t>χρηματικό ποσό με σύμβολο το Ευρώ (€)</t>
    </r>
    <r>
      <rPr>
        <sz val="12"/>
        <color theme="1"/>
        <rFont val="Calibri"/>
        <family val="2"/>
        <charset val="161"/>
      </rPr>
      <t xml:space="preserve">    </t>
    </r>
  </si>
  <si>
    <t>χωρίς δεκαδικά ψηφία.</t>
  </si>
  <si>
    <r>
      <rPr>
        <b/>
        <sz val="12"/>
        <color theme="1"/>
        <rFont val="Calibri"/>
        <family val="2"/>
        <charset val="161"/>
      </rPr>
      <t>12</t>
    </r>
    <r>
      <rPr>
        <sz val="12"/>
        <color theme="1"/>
        <rFont val="Calibri"/>
        <family val="2"/>
        <charset val="161"/>
      </rPr>
      <t xml:space="preserve">. Στο sheet  </t>
    </r>
    <r>
      <rPr>
        <b/>
        <sz val="12"/>
        <color theme="1"/>
        <rFont val="Calibri"/>
        <family val="2"/>
        <charset val="161"/>
      </rPr>
      <t>Αριθμοί</t>
    </r>
    <r>
      <rPr>
        <sz val="12"/>
        <color theme="1"/>
        <rFont val="Calibri"/>
        <family val="2"/>
        <charset val="161"/>
      </rPr>
      <t xml:space="preserve">, στα κελιά C2:C6 να μετατραπούν τα δεδομένα σε </t>
    </r>
    <r>
      <rPr>
        <b/>
        <sz val="12"/>
        <color theme="1"/>
        <rFont val="Calibri"/>
        <family val="2"/>
        <charset val="161"/>
      </rPr>
      <t xml:space="preserve">δεκαδικούς αριθμούς με 3 δεκαδικά ψηφία </t>
    </r>
  </si>
  <si>
    <r>
      <t xml:space="preserve">και στα κελιά E2:E6 να μετατραπούν τα δεδομένα σε </t>
    </r>
    <r>
      <rPr>
        <b/>
        <sz val="12"/>
        <color theme="1"/>
        <rFont val="Calibri"/>
        <family val="2"/>
        <charset val="161"/>
      </rPr>
      <t>ποσοστά με 2 δεκαδικά ψηφία</t>
    </r>
    <r>
      <rPr>
        <sz val="12"/>
        <color theme="1"/>
        <rFont val="Calibri"/>
        <family val="2"/>
        <charset val="161"/>
      </rPr>
      <t>.</t>
    </r>
  </si>
  <si>
    <r>
      <rPr>
        <b/>
        <sz val="12"/>
        <color theme="1"/>
        <rFont val="Calibri"/>
        <family val="2"/>
        <charset val="161"/>
      </rPr>
      <t>13</t>
    </r>
    <r>
      <rPr>
        <sz val="12"/>
        <color theme="1"/>
        <rFont val="Calibri"/>
        <family val="2"/>
        <charset val="161"/>
      </rPr>
      <t xml:space="preserve">. Στο sheet </t>
    </r>
    <r>
      <rPr>
        <b/>
        <sz val="12"/>
        <color theme="1"/>
        <rFont val="Calibri"/>
        <family val="2"/>
        <charset val="161"/>
      </rPr>
      <t>Τύποι</t>
    </r>
    <r>
      <rPr>
        <sz val="12"/>
        <color theme="1"/>
        <rFont val="Calibri"/>
        <family val="2"/>
        <charset val="161"/>
      </rPr>
      <t xml:space="preserve">, να πληκτρολογήσετε στο κελί G5 τον τύπο(formula): </t>
    </r>
  </si>
  <si>
    <r>
      <rPr>
        <b/>
        <sz val="12"/>
        <color theme="1"/>
        <rFont val="Calibri"/>
        <family val="2"/>
        <charset val="161"/>
      </rPr>
      <t>14</t>
    </r>
    <r>
      <rPr>
        <sz val="12"/>
        <color theme="1"/>
        <rFont val="Calibri"/>
        <family val="2"/>
        <charset val="161"/>
      </rPr>
      <t xml:space="preserve">. Στο sheet </t>
    </r>
    <r>
      <rPr>
        <b/>
        <sz val="12"/>
        <color theme="1"/>
        <rFont val="Calibri"/>
        <family val="2"/>
        <charset val="161"/>
      </rPr>
      <t>Τύποι</t>
    </r>
    <r>
      <rPr>
        <sz val="12"/>
        <color theme="1"/>
        <rFont val="Calibri"/>
        <family val="2"/>
        <charset val="161"/>
      </rPr>
      <t xml:space="preserve">, να πληκτρολογήσετε στο κελί H5 τον Τύπο(Formula) </t>
    </r>
    <r>
      <rPr>
        <b/>
        <sz val="12"/>
        <color theme="1"/>
        <rFont val="Calibri"/>
        <family val="2"/>
        <charset val="161"/>
      </rPr>
      <t>"=(ΝΙΚΕΣ / ΑΓΩΝΕΣ)"</t>
    </r>
    <r>
      <rPr>
        <sz val="12"/>
        <color theme="1"/>
        <rFont val="Calibri"/>
        <family val="2"/>
        <charset val="161"/>
      </rPr>
      <t xml:space="preserve"> που να υπολογίζει</t>
    </r>
  </si>
  <si>
    <r>
      <rPr>
        <b/>
        <sz val="12"/>
        <color theme="1"/>
        <rFont val="Calibri"/>
        <family val="2"/>
        <charset val="161"/>
      </rPr>
      <t>15</t>
    </r>
    <r>
      <rPr>
        <sz val="12"/>
        <color theme="1"/>
        <rFont val="Calibri"/>
        <family val="2"/>
        <charset val="161"/>
      </rPr>
      <t xml:space="preserve">. Στο sheet </t>
    </r>
    <r>
      <rPr>
        <b/>
        <sz val="12"/>
        <color theme="1"/>
        <rFont val="Calibri"/>
        <family val="2"/>
        <charset val="161"/>
      </rPr>
      <t>Συναρτήσεις,</t>
    </r>
    <r>
      <rPr>
        <sz val="12"/>
        <color theme="1"/>
        <rFont val="Calibri"/>
        <family val="2"/>
        <charset val="161"/>
      </rPr>
      <t xml:space="preserve"> στο κελί F4 εισάγετε τη συνάρτηση που να υπολογίζει την πιο </t>
    </r>
    <r>
      <rPr>
        <b/>
        <sz val="12"/>
        <color theme="1"/>
        <rFont val="Calibri"/>
        <family val="2"/>
        <charset val="161"/>
      </rPr>
      <t>ψηλή</t>
    </r>
    <r>
      <rPr>
        <sz val="12"/>
        <color theme="1"/>
        <rFont val="Calibri"/>
        <family val="2"/>
        <charset val="161"/>
      </rPr>
      <t xml:space="preserve"> θερμοκρασία της</t>
    </r>
  </si>
  <si>
    <r>
      <t xml:space="preserve">Δευτέρας, στο κελί G4 την πιο </t>
    </r>
    <r>
      <rPr>
        <b/>
        <sz val="12"/>
        <color theme="1"/>
        <rFont val="Calibri"/>
        <family val="2"/>
        <charset val="161"/>
      </rPr>
      <t>χαμηλή</t>
    </r>
    <r>
      <rPr>
        <sz val="12"/>
        <color theme="1"/>
        <rFont val="Calibri"/>
        <family val="2"/>
        <charset val="161"/>
      </rPr>
      <t xml:space="preserve"> θερμοκρασία της Δευτέρας, στο κελί Η4 τη </t>
    </r>
    <r>
      <rPr>
        <b/>
        <sz val="12"/>
        <color theme="1"/>
        <rFont val="Calibri"/>
        <family val="2"/>
        <charset val="161"/>
      </rPr>
      <t>μέση</t>
    </r>
    <r>
      <rPr>
        <sz val="12"/>
        <color theme="1"/>
        <rFont val="Calibri"/>
        <family val="2"/>
        <charset val="161"/>
      </rPr>
      <t xml:space="preserve"> θερμοκρασία της Δευτέρας </t>
    </r>
  </si>
  <si>
    <r>
      <rPr>
        <b/>
        <sz val="12"/>
        <color theme="1"/>
        <rFont val="Calibri"/>
        <family val="2"/>
        <charset val="161"/>
      </rPr>
      <t>16</t>
    </r>
    <r>
      <rPr>
        <sz val="12"/>
        <color theme="1"/>
        <rFont val="Calibri"/>
        <family val="2"/>
        <charset val="161"/>
      </rPr>
      <t xml:space="preserve">. Στο sheet </t>
    </r>
    <r>
      <rPr>
        <b/>
        <sz val="12"/>
        <color theme="1"/>
        <rFont val="Calibri"/>
        <family val="2"/>
        <charset val="161"/>
      </rPr>
      <t xml:space="preserve">Συναρτήσεις, </t>
    </r>
    <r>
      <rPr>
        <sz val="12"/>
        <color theme="1"/>
        <rFont val="Calibri"/>
        <family val="2"/>
        <charset val="161"/>
      </rPr>
      <t>στο κελί B12 γράψετε τη συνάρτηση που να υπολογίζει το</t>
    </r>
    <r>
      <rPr>
        <b/>
        <sz val="12"/>
        <color theme="1"/>
        <rFont val="Calibri"/>
        <family val="2"/>
        <charset val="161"/>
      </rPr>
      <t xml:space="preserve"> πλήθος των κελιών της </t>
    </r>
  </si>
  <si>
    <r>
      <rPr>
        <b/>
        <sz val="12"/>
        <color theme="1"/>
        <rFont val="Calibri"/>
        <family val="2"/>
        <charset val="161"/>
      </rPr>
      <t>17</t>
    </r>
    <r>
      <rPr>
        <sz val="12"/>
        <color theme="1"/>
        <rFont val="Calibri"/>
        <family val="2"/>
        <charset val="161"/>
      </rPr>
      <t xml:space="preserve">. Στο sheet </t>
    </r>
    <r>
      <rPr>
        <b/>
        <sz val="12"/>
        <color theme="1"/>
        <rFont val="Calibri"/>
        <family val="2"/>
        <charset val="161"/>
      </rPr>
      <t>Γραφήματα</t>
    </r>
    <r>
      <rPr>
        <sz val="12"/>
        <color theme="1"/>
        <rFont val="Calibri"/>
        <family val="2"/>
        <charset val="161"/>
      </rPr>
      <t xml:space="preserve"> να δημιουργήσετε ένα γράφημα τύπου </t>
    </r>
    <r>
      <rPr>
        <b/>
        <sz val="12"/>
        <color theme="1"/>
        <rFont val="Calibri"/>
        <family val="2"/>
        <charset val="161"/>
      </rPr>
      <t>Στήλης Column (3-D Clustered column)</t>
    </r>
    <r>
      <rPr>
        <sz val="12"/>
        <color theme="1"/>
        <rFont val="Calibri"/>
        <family val="2"/>
        <charset val="161"/>
      </rPr>
      <t>,</t>
    </r>
  </si>
  <si>
    <r>
      <t xml:space="preserve">επιλέγοντας την </t>
    </r>
    <r>
      <rPr>
        <b/>
        <sz val="12"/>
        <color theme="1"/>
        <rFont val="Calibri"/>
        <family val="2"/>
        <charset val="161"/>
      </rPr>
      <t>περιοχή κελιών A3:C10</t>
    </r>
    <r>
      <rPr>
        <sz val="12"/>
        <color theme="1"/>
        <rFont val="Calibri"/>
        <family val="2"/>
        <charset val="161"/>
      </rPr>
      <t xml:space="preserve"> και </t>
    </r>
    <r>
      <rPr>
        <b/>
        <sz val="12"/>
        <color theme="1"/>
        <rFont val="Calibri"/>
        <family val="2"/>
        <charset val="161"/>
      </rPr>
      <t>τοποθετήστε το κάτω από το υφιστάμενο γράφημα πίτας(Pie)</t>
    </r>
    <r>
      <rPr>
        <sz val="12"/>
        <color theme="1"/>
        <rFont val="Calibri"/>
        <family val="2"/>
        <charset val="161"/>
      </rPr>
      <t>.</t>
    </r>
  </si>
  <si>
    <r>
      <rPr>
        <b/>
        <sz val="12"/>
        <color theme="1"/>
        <rFont val="Calibri"/>
        <family val="2"/>
        <charset val="161"/>
      </rPr>
      <t>18</t>
    </r>
    <r>
      <rPr>
        <sz val="12"/>
        <color theme="1"/>
        <rFont val="Calibri"/>
        <family val="2"/>
        <charset val="161"/>
      </rPr>
      <t xml:space="preserve">. Στο sheet </t>
    </r>
    <r>
      <rPr>
        <b/>
        <sz val="12"/>
        <color theme="1"/>
        <rFont val="Calibri"/>
        <family val="2"/>
        <charset val="161"/>
      </rPr>
      <t>Γραφήματα</t>
    </r>
    <r>
      <rPr>
        <sz val="12"/>
        <color theme="1"/>
        <rFont val="Calibri"/>
        <family val="2"/>
        <charset val="161"/>
      </rPr>
      <t xml:space="preserve">, στο </t>
    </r>
    <r>
      <rPr>
        <b/>
        <sz val="12"/>
        <color theme="1"/>
        <rFont val="Calibri"/>
        <family val="2"/>
        <charset val="161"/>
      </rPr>
      <t>γράφημα πίτας (Pie)</t>
    </r>
    <r>
      <rPr>
        <sz val="12"/>
        <color theme="1"/>
        <rFont val="Calibri"/>
        <family val="2"/>
        <charset val="161"/>
      </rPr>
      <t xml:space="preserve"> να προσθέσετε τον τίτλο</t>
    </r>
    <r>
      <rPr>
        <b/>
        <sz val="12"/>
        <color theme="1"/>
        <rFont val="Calibri"/>
        <family val="2"/>
        <charset val="161"/>
      </rPr>
      <t xml:space="preserve"> "NBA 2024-2025"(Chart Title)</t>
    </r>
    <r>
      <rPr>
        <sz val="12"/>
        <color theme="1"/>
        <rFont val="Calibri"/>
        <family val="2"/>
        <charset val="161"/>
      </rPr>
      <t xml:space="preserve"> και να</t>
    </r>
    <r>
      <rPr>
        <b/>
        <sz val="12"/>
        <color theme="1"/>
        <rFont val="Calibri"/>
        <family val="2"/>
        <charset val="161"/>
      </rPr>
      <t xml:space="preserve"> </t>
    </r>
  </si>
  <si>
    <r>
      <t xml:space="preserve">αλλάξετε το </t>
    </r>
    <r>
      <rPr>
        <b/>
        <sz val="12"/>
        <color theme="1"/>
        <rFont val="Calibri"/>
        <family val="2"/>
        <charset val="161"/>
      </rPr>
      <t>χρώμα φόντου της περιοχής γραφήματος (Chart Area) σε κίτρινο</t>
    </r>
    <r>
      <rPr>
        <sz val="12"/>
        <color theme="1"/>
        <rFont val="Calibri"/>
        <family val="2"/>
        <charset val="161"/>
      </rPr>
      <t>.</t>
    </r>
  </si>
  <si>
    <r>
      <rPr>
        <b/>
        <sz val="12"/>
        <color theme="1"/>
        <rFont val="Calibri"/>
        <family val="2"/>
        <charset val="161"/>
      </rPr>
      <t>19</t>
    </r>
    <r>
      <rPr>
        <sz val="12"/>
        <color theme="1"/>
        <rFont val="Calibri"/>
        <family val="2"/>
        <charset val="161"/>
      </rPr>
      <t xml:space="preserve">. Στο sheet </t>
    </r>
    <r>
      <rPr>
        <b/>
        <sz val="12"/>
        <color theme="1"/>
        <rFont val="Calibri"/>
        <family val="2"/>
        <charset val="161"/>
      </rPr>
      <t>Γραφήματα</t>
    </r>
    <r>
      <rPr>
        <sz val="12"/>
        <color theme="1"/>
        <rFont val="Calibri"/>
        <family val="2"/>
        <charset val="161"/>
      </rPr>
      <t xml:space="preserve">, να προσθέσετε </t>
    </r>
    <r>
      <rPr>
        <b/>
        <sz val="12"/>
        <color theme="1"/>
        <rFont val="Calibri"/>
        <family val="2"/>
        <charset val="161"/>
      </rPr>
      <t>ετικέτες με τιμές (Data Labels) τύπου Outside End</t>
    </r>
    <r>
      <rPr>
        <sz val="12"/>
        <color theme="1"/>
        <rFont val="Calibri"/>
        <family val="2"/>
        <charset val="161"/>
      </rPr>
      <t xml:space="preserve"> στο γράφημα πίτας (Pie) </t>
    </r>
  </si>
  <si>
    <r>
      <t xml:space="preserve">και να </t>
    </r>
    <r>
      <rPr>
        <b/>
        <sz val="12"/>
        <color theme="1"/>
        <rFont val="Calibri"/>
        <family val="2"/>
        <charset val="161"/>
      </rPr>
      <t>αλλάξετε τη θέση του υπομνήματος (Legend) στα δεξιά του γραφήματος</t>
    </r>
    <r>
      <rPr>
        <sz val="12"/>
        <color theme="1"/>
        <rFont val="Calibri"/>
        <family val="2"/>
        <charset val="161"/>
      </rPr>
      <t>.</t>
    </r>
  </si>
  <si>
    <r>
      <rPr>
        <b/>
        <sz val="12"/>
        <color theme="1"/>
        <rFont val="Calibri"/>
        <family val="2"/>
        <charset val="161"/>
      </rPr>
      <t>20</t>
    </r>
    <r>
      <rPr>
        <sz val="12"/>
        <color theme="1"/>
        <rFont val="Calibri"/>
        <family val="2"/>
        <charset val="161"/>
      </rPr>
      <t xml:space="preserve">. Στο sheet </t>
    </r>
    <r>
      <rPr>
        <b/>
        <sz val="12"/>
        <color theme="1"/>
        <rFont val="Calibri"/>
        <family val="2"/>
        <charset val="161"/>
      </rPr>
      <t>Γενικά</t>
    </r>
    <r>
      <rPr>
        <sz val="12"/>
        <color theme="1"/>
        <rFont val="Calibri"/>
        <family val="2"/>
        <charset val="161"/>
      </rPr>
      <t xml:space="preserve">, να αλλάξετε τον </t>
    </r>
    <r>
      <rPr>
        <b/>
        <sz val="12"/>
        <color theme="1"/>
        <rFont val="Calibri"/>
        <family val="2"/>
        <charset val="161"/>
      </rPr>
      <t>προσανατολισμό</t>
    </r>
    <r>
      <rPr>
        <sz val="12"/>
        <color theme="1"/>
        <rFont val="Calibri"/>
        <family val="2"/>
        <charset val="161"/>
      </rPr>
      <t xml:space="preserve"> του φύλλου εργασίας σε </t>
    </r>
    <r>
      <rPr>
        <b/>
        <sz val="12"/>
        <color theme="1"/>
        <rFont val="Calibri"/>
        <family val="2"/>
        <charset val="161"/>
      </rPr>
      <t>Landscape.</t>
    </r>
    <r>
      <rPr>
        <sz val="12"/>
        <color theme="1"/>
        <rFont val="Calibri"/>
        <family val="2"/>
        <charset val="161"/>
      </rPr>
      <t xml:space="preserve">  </t>
    </r>
  </si>
  <si>
    <r>
      <t xml:space="preserve">21. </t>
    </r>
    <r>
      <rPr>
        <sz val="12"/>
        <color theme="1"/>
        <rFont val="Calibri"/>
        <family val="2"/>
        <charset val="161"/>
      </rPr>
      <t>Στο sheet</t>
    </r>
    <r>
      <rPr>
        <b/>
        <sz val="12"/>
        <color theme="1"/>
        <rFont val="Calibri"/>
        <family val="2"/>
        <charset val="161"/>
      </rPr>
      <t xml:space="preserve"> Γενικά, </t>
    </r>
    <r>
      <rPr>
        <sz val="12"/>
        <color theme="1"/>
        <rFont val="Calibri"/>
        <family val="2"/>
        <charset val="161"/>
      </rPr>
      <t>να αλλάξετε τα ακόλουθα</t>
    </r>
    <r>
      <rPr>
        <b/>
        <sz val="12"/>
        <color theme="1"/>
        <rFont val="Calibri"/>
        <family val="2"/>
        <charset val="161"/>
      </rPr>
      <t xml:space="preserve"> περιθώρια(margins)</t>
    </r>
    <r>
      <rPr>
        <sz val="12"/>
        <color theme="1"/>
        <rFont val="Calibri"/>
        <family val="2"/>
        <charset val="161"/>
      </rPr>
      <t xml:space="preserve"> της σελίδας:</t>
    </r>
    <r>
      <rPr>
        <b/>
        <sz val="12"/>
        <color theme="1"/>
        <rFont val="Calibri"/>
        <family val="2"/>
        <charset val="161"/>
      </rPr>
      <t xml:space="preserve"> Πάνω(Top):1,5 και Αριστερά(Left):1,6</t>
    </r>
  </si>
  <si>
    <r>
      <t xml:space="preserve">* Αποθηκεύσετε την εργασία σας στο φάκελό σας με όνομα </t>
    </r>
    <r>
      <rPr>
        <b/>
        <i/>
        <sz val="12"/>
        <color theme="1"/>
        <rFont val="Calibri"/>
        <family val="2"/>
        <charset val="161"/>
      </rPr>
      <t>"Το Ονοματεπώνυμο σας"</t>
    </r>
    <r>
      <rPr>
        <i/>
        <sz val="12"/>
        <color theme="1"/>
        <rFont val="Calibri"/>
        <family val="2"/>
        <charset val="161"/>
      </rPr>
      <t xml:space="preserve">. </t>
    </r>
  </si>
  <si>
    <t>Καλή Επιτυχία!!!</t>
  </si>
  <si>
    <r>
      <rPr>
        <b/>
        <sz val="12"/>
        <color theme="1"/>
        <rFont val="Calibri"/>
        <family val="2"/>
        <charset val="161"/>
      </rPr>
      <t>"=(ΝΙΚΕΣ * ΒΑΘΜΟΙ ΝΙΚΗΣ) + (ΙΣΟΠΑΛΙΕΣ * ΒΑΘΜΟΙ ΙΣΟΠΑΛΙΑΣ)"</t>
    </r>
    <r>
      <rPr>
        <sz val="12"/>
        <color theme="1"/>
        <rFont val="Calibri"/>
        <family val="2"/>
        <charset val="161"/>
      </rPr>
      <t xml:space="preserve"> που υπολογίζει τους βαθμούς της πρώτης ομάδας.</t>
    </r>
  </si>
  <si>
    <t>Μέσος Όρος Εβδομάδας</t>
  </si>
  <si>
    <r>
      <t xml:space="preserve">και στο κελί B16 τη </t>
    </r>
    <r>
      <rPr>
        <b/>
        <sz val="12"/>
        <color theme="1"/>
        <rFont val="Calibri"/>
        <family val="2"/>
        <charset val="161"/>
      </rPr>
      <t>στρογγυλοποίηση χωρίς δεκαδικά</t>
    </r>
    <r>
      <rPr>
        <sz val="12"/>
        <color theme="1"/>
        <rFont val="Calibri"/>
        <family val="2"/>
        <charset val="161"/>
      </rPr>
      <t xml:space="preserve"> του Μέσου Όρου Εβδομάδας</t>
    </r>
    <r>
      <rPr>
        <b/>
        <sz val="12"/>
        <color theme="1"/>
        <rFont val="Calibri"/>
        <family val="2"/>
        <charset val="161"/>
      </rPr>
      <t xml:space="preserve"> (Β14)</t>
    </r>
    <r>
      <rPr>
        <sz val="12"/>
        <color theme="1"/>
        <rFont val="Calibri"/>
        <family val="2"/>
        <charset val="161"/>
      </rPr>
      <t>.</t>
    </r>
  </si>
  <si>
    <r>
      <rPr>
        <b/>
        <sz val="12"/>
        <color theme="1"/>
        <rFont val="Calibri"/>
        <family val="2"/>
        <charset val="161"/>
      </rPr>
      <t>Σχολική Χρονιά:</t>
    </r>
    <r>
      <rPr>
        <sz val="12"/>
        <color theme="1"/>
        <rFont val="Calibri"/>
        <family val="2"/>
        <charset val="161"/>
      </rPr>
      <t xml:space="preserve"> 2025 - 2026</t>
    </r>
  </si>
  <si>
    <t>ΟΛΥΜΠΙΑΚΟΣ ΛΕΥΚΩΣΙΑΣ</t>
  </si>
  <si>
    <t>ΕΘΝΙΚΟΣ ΑΧΝΑΣ</t>
  </si>
  <si>
    <r>
      <t xml:space="preserve"> και να </t>
    </r>
    <r>
      <rPr>
        <b/>
        <sz val="12"/>
        <color theme="1"/>
        <rFont val="Calibri"/>
        <family val="2"/>
        <charset val="161"/>
      </rPr>
      <t>αντιγράψετε τον τύπο στη περιοχή κελιών G5:G14</t>
    </r>
    <r>
      <rPr>
        <sz val="12"/>
        <color theme="1"/>
        <rFont val="Calibri"/>
        <family val="2"/>
        <charset val="161"/>
      </rPr>
      <t xml:space="preserve">. Χρησιμοποιήστε </t>
    </r>
    <r>
      <rPr>
        <b/>
        <sz val="12"/>
        <color theme="1"/>
        <rFont val="Calibri"/>
        <family val="2"/>
        <charset val="161"/>
      </rPr>
      <t>Απόλυτη αναφορά ($)</t>
    </r>
    <r>
      <rPr>
        <sz val="12"/>
        <color theme="1"/>
        <rFont val="Calibri"/>
        <family val="2"/>
        <charset val="161"/>
      </rPr>
      <t xml:space="preserve"> όπου χρειάζεται.</t>
    </r>
  </si>
  <si>
    <r>
      <t xml:space="preserve">το ποσοστό επιτυχίας της πρώτης ομάδας και να </t>
    </r>
    <r>
      <rPr>
        <b/>
        <sz val="12"/>
        <color theme="1"/>
        <rFont val="Calibri"/>
        <family val="2"/>
        <charset val="161"/>
      </rPr>
      <t>αντιγράψετε τον τύπο στην περιοχή κελιών H5:H14</t>
    </r>
    <r>
      <rPr>
        <sz val="12"/>
        <color theme="1"/>
        <rFont val="Calibri"/>
        <family val="2"/>
        <charset val="161"/>
      </rPr>
      <t>.</t>
    </r>
  </si>
  <si>
    <t>Αντιγράψετε τις συναρτήσεις της περιοχής κελιών F4:H4 στην περιοχή κελιών F5:H10.</t>
  </si>
  <si>
    <r>
      <t>περιοχής Α1:H10 που περιέχουν μόνο αριθμούς</t>
    </r>
    <r>
      <rPr>
        <sz val="12"/>
        <color theme="1"/>
        <rFont val="Calibri"/>
        <family val="2"/>
        <charset val="161"/>
      </rPr>
      <t>.</t>
    </r>
  </si>
  <si>
    <r>
      <rPr>
        <b/>
        <sz val="12"/>
        <color theme="1"/>
        <rFont val="Calibri"/>
        <family val="2"/>
        <charset val="161"/>
      </rPr>
      <t xml:space="preserve">Ημερομηνία: </t>
    </r>
    <r>
      <rPr>
        <sz val="12"/>
        <color theme="1"/>
        <rFont val="Calibri"/>
        <family val="2"/>
        <charset val="161"/>
      </rPr>
      <t>12/12/2025</t>
    </r>
  </si>
  <si>
    <r>
      <t xml:space="preserve">Τμήμα: </t>
    </r>
    <r>
      <rPr>
        <sz val="12"/>
        <color theme="1"/>
        <rFont val="Calibri"/>
        <family val="2"/>
        <charset val="161"/>
      </rPr>
      <t>Β3Α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</si>
</sst>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"/>
  </numFmts>
  <fonts count="39" x14ac:knownFonts="1">
    <font>
      <sz val="10"/>
      <name val="Arial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0"/>
      <name val="Arial"/>
      <family val="2"/>
      <charset val="161"/>
    </font>
    <font>
      <b/>
      <sz val="11"/>
      <name val="Arial"/>
      <family val="2"/>
      <charset val="161"/>
    </font>
    <font>
      <b/>
      <sz val="14"/>
      <name val="Calibri"/>
      <family val="2"/>
      <charset val="161"/>
      <scheme val="minor"/>
    </font>
    <font>
      <sz val="10"/>
      <name val="Calibri"/>
      <family val="2"/>
      <charset val="161"/>
      <scheme val="minor"/>
    </font>
    <font>
      <b/>
      <sz val="14"/>
      <color rgb="FF222222"/>
      <name val="Calibri"/>
      <family val="2"/>
      <charset val="161"/>
      <scheme val="minor"/>
    </font>
    <font>
      <b/>
      <sz val="12"/>
      <color rgb="FF222222"/>
      <name val="Calibri"/>
      <family val="2"/>
      <charset val="161"/>
      <scheme val="minor"/>
    </font>
    <font>
      <sz val="12"/>
      <name val="Calibri"/>
      <family val="2"/>
      <charset val="161"/>
      <scheme val="minor"/>
    </font>
    <font>
      <sz val="12"/>
      <color rgb="FF222222"/>
      <name val="Calibri"/>
      <family val="2"/>
      <charset val="161"/>
      <scheme val="minor"/>
    </font>
    <font>
      <b/>
      <sz val="12"/>
      <name val="Calibri"/>
      <family val="2"/>
      <charset val="161"/>
      <scheme val="minor"/>
    </font>
    <font>
      <sz val="12"/>
      <name val="Calibri"/>
      <family val="2"/>
      <charset val="161"/>
    </font>
    <font>
      <b/>
      <sz val="12"/>
      <name val="Arial"/>
      <family val="2"/>
      <charset val="161"/>
    </font>
    <font>
      <b/>
      <sz val="12"/>
      <name val="Calibri"/>
      <family val="2"/>
      <charset val="161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161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i/>
      <sz val="12"/>
      <name val="Calibri"/>
      <family val="2"/>
      <charset val="161"/>
      <scheme val="minor"/>
    </font>
    <font>
      <b/>
      <sz val="14"/>
      <color theme="1"/>
      <name val="Calibri"/>
      <family val="2"/>
      <scheme val="minor"/>
    </font>
    <font>
      <sz val="18"/>
      <color indexed="48"/>
      <name val="Arial"/>
      <family val="2"/>
    </font>
    <font>
      <sz val="18"/>
      <name val="Arial"/>
      <family val="2"/>
    </font>
    <font>
      <vertAlign val="superscript"/>
      <sz val="18"/>
      <name val="Arial"/>
      <family val="2"/>
      <charset val="161"/>
    </font>
    <font>
      <b/>
      <sz val="20"/>
      <color theme="1"/>
      <name val="Calibri"/>
      <family val="2"/>
      <charset val="161"/>
    </font>
    <font>
      <sz val="11"/>
      <color theme="1"/>
      <name val="Calibri"/>
      <family val="2"/>
      <charset val="161"/>
    </font>
    <font>
      <b/>
      <sz val="12"/>
      <color theme="1"/>
      <name val="Calibri"/>
      <family val="2"/>
      <charset val="161"/>
    </font>
    <font>
      <sz val="12"/>
      <color theme="1"/>
      <name val="Calibri"/>
      <family val="2"/>
      <charset val="161"/>
    </font>
    <font>
      <b/>
      <sz val="24"/>
      <color rgb="FFFF0000"/>
      <name val="Calibri"/>
      <family val="2"/>
      <charset val="161"/>
    </font>
    <font>
      <u/>
      <sz val="12"/>
      <color theme="1"/>
      <name val="Calibri"/>
      <family val="2"/>
      <charset val="161"/>
    </font>
    <font>
      <sz val="12"/>
      <color rgb="FF000000"/>
      <name val="Calibri"/>
      <family val="2"/>
      <charset val="161"/>
    </font>
    <font>
      <b/>
      <sz val="12"/>
      <color rgb="FF000000"/>
      <name val="Calibri"/>
      <family val="2"/>
      <charset val="161"/>
    </font>
    <font>
      <i/>
      <sz val="12"/>
      <color theme="1"/>
      <name val="Calibri"/>
      <family val="2"/>
      <charset val="161"/>
    </font>
    <font>
      <b/>
      <i/>
      <sz val="12"/>
      <color theme="1"/>
      <name val="Calibri"/>
      <family val="2"/>
      <charset val="161"/>
    </font>
    <font>
      <b/>
      <sz val="12"/>
      <color theme="1"/>
      <name val="Monotype Corsiva"/>
      <family val="4"/>
      <charset val="161"/>
    </font>
    <font>
      <b/>
      <sz val="11"/>
      <color theme="1"/>
      <name val="Calibri"/>
      <family val="2"/>
      <charset val="161"/>
    </font>
    <font>
      <b/>
      <sz val="11"/>
      <color rgb="FFFF0000"/>
      <name val="Calibri"/>
      <family val="2"/>
      <charset val="16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DashDotDot">
        <color auto="1"/>
      </left>
      <right/>
      <top style="mediumDashDotDot">
        <color auto="1"/>
      </top>
      <bottom/>
      <diagonal/>
    </border>
    <border>
      <left/>
      <right/>
      <top style="mediumDashDotDot">
        <color auto="1"/>
      </top>
      <bottom/>
      <diagonal/>
    </border>
    <border>
      <left/>
      <right style="mediumDashDotDot">
        <color auto="1"/>
      </right>
      <top style="mediumDashDotDot">
        <color auto="1"/>
      </top>
      <bottom/>
      <diagonal/>
    </border>
    <border>
      <left style="mediumDashDotDot">
        <color auto="1"/>
      </left>
      <right/>
      <top/>
      <bottom/>
      <diagonal/>
    </border>
    <border>
      <left/>
      <right style="mediumDashDotDot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DotDot">
        <color auto="1"/>
      </left>
      <right/>
      <top/>
      <bottom style="mediumDashDotDot">
        <color auto="1"/>
      </bottom>
      <diagonal/>
    </border>
    <border>
      <left/>
      <right/>
      <top/>
      <bottom style="mediumDashDotDot">
        <color auto="1"/>
      </bottom>
      <diagonal/>
    </border>
    <border>
      <left/>
      <right style="mediumDashDotDot">
        <color auto="1"/>
      </right>
      <top/>
      <bottom style="mediumDashDotDot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8" fillId="0" borderId="0"/>
    <xf numFmtId="0" fontId="2" fillId="0" borderId="0"/>
    <xf numFmtId="9" fontId="18" fillId="0" borderId="0" applyFont="0" applyFill="0" applyBorder="0" applyAlignment="0" applyProtection="0"/>
    <xf numFmtId="0" fontId="3" fillId="0" borderId="0"/>
    <xf numFmtId="0" fontId="1" fillId="0" borderId="0"/>
  </cellStyleXfs>
  <cellXfs count="9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0" xfId="0" applyFont="1"/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/>
    <xf numFmtId="0" fontId="9" fillId="0" borderId="7" xfId="0" applyFont="1" applyBorder="1" applyAlignment="1">
      <alignment horizontal="center"/>
    </xf>
    <xf numFmtId="0" fontId="12" fillId="0" borderId="1" xfId="0" applyFont="1" applyBorder="1"/>
    <xf numFmtId="0" fontId="0" fillId="0" borderId="10" xfId="0" applyBorder="1"/>
    <xf numFmtId="0" fontId="14" fillId="0" borderId="1" xfId="0" applyFont="1" applyBorder="1"/>
    <xf numFmtId="20" fontId="14" fillId="0" borderId="1" xfId="0" applyNumberFormat="1" applyFont="1" applyBorder="1"/>
    <xf numFmtId="0" fontId="11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center"/>
    </xf>
    <xf numFmtId="0" fontId="16" fillId="0" borderId="0" xfId="0" applyFont="1"/>
    <xf numFmtId="0" fontId="16" fillId="0" borderId="0" xfId="0" quotePrefix="1" applyFont="1" applyAlignment="1">
      <alignment horizontal="center"/>
    </xf>
    <xf numFmtId="0" fontId="16" fillId="0" borderId="0" xfId="0" applyFont="1" applyAlignment="1">
      <alignment horizontal="center"/>
    </xf>
    <xf numFmtId="0" fontId="19" fillId="0" borderId="0" xfId="1" quotePrefix="1" applyFont="1" applyAlignment="1">
      <alignment horizontal="left"/>
    </xf>
    <xf numFmtId="0" fontId="15" fillId="0" borderId="0" xfId="1" applyFont="1"/>
    <xf numFmtId="0" fontId="18" fillId="0" borderId="0" xfId="1"/>
    <xf numFmtId="0" fontId="19" fillId="0" borderId="0" xfId="1" applyFont="1"/>
    <xf numFmtId="0" fontId="17" fillId="0" borderId="0" xfId="1" applyFont="1"/>
    <xf numFmtId="0" fontId="18" fillId="0" borderId="0" xfId="1" applyAlignment="1">
      <alignment horizontal="left"/>
    </xf>
    <xf numFmtId="0" fontId="18" fillId="0" borderId="0" xfId="1" applyAlignment="1">
      <alignment horizontal="right"/>
    </xf>
    <xf numFmtId="0" fontId="16" fillId="0" borderId="0" xfId="0" quotePrefix="1" applyFont="1" applyAlignment="1">
      <alignment horizontal="left"/>
    </xf>
    <xf numFmtId="0" fontId="13" fillId="0" borderId="1" xfId="0" applyFont="1" applyBorder="1"/>
    <xf numFmtId="0" fontId="20" fillId="0" borderId="0" xfId="0" applyFont="1"/>
    <xf numFmtId="0" fontId="3" fillId="0" borderId="0" xfId="4"/>
    <xf numFmtId="0" fontId="22" fillId="0" borderId="0" xfId="1" applyFont="1"/>
    <xf numFmtId="0" fontId="15" fillId="2" borderId="15" xfId="1" applyFont="1" applyFill="1" applyBorder="1"/>
    <xf numFmtId="0" fontId="23" fillId="0" borderId="0" xfId="4" applyFont="1"/>
    <xf numFmtId="0" fontId="24" fillId="0" borderId="0" xfId="4" applyFont="1" applyAlignment="1">
      <alignment horizontal="center"/>
    </xf>
    <xf numFmtId="0" fontId="23" fillId="0" borderId="0" xfId="4" quotePrefix="1" applyFont="1" applyAlignment="1">
      <alignment horizontal="left"/>
    </xf>
    <xf numFmtId="0" fontId="24" fillId="0" borderId="13" xfId="4" applyFont="1" applyBorder="1"/>
    <xf numFmtId="0" fontId="24" fillId="0" borderId="13" xfId="4" applyFont="1" applyBorder="1" applyAlignment="1">
      <alignment horizontal="center"/>
    </xf>
    <xf numFmtId="0" fontId="24" fillId="3" borderId="13" xfId="4" applyFont="1" applyFill="1" applyBorder="1" applyAlignment="1">
      <alignment horizontal="center"/>
    </xf>
    <xf numFmtId="0" fontId="24" fillId="4" borderId="13" xfId="4" quotePrefix="1" applyFont="1" applyFill="1" applyBorder="1" applyAlignment="1">
      <alignment horizontal="center"/>
    </xf>
    <xf numFmtId="0" fontId="24" fillId="0" borderId="13" xfId="4" applyFont="1" applyBorder="1" applyAlignment="1">
      <alignment horizontal="left"/>
    </xf>
    <xf numFmtId="0" fontId="6" fillId="0" borderId="1" xfId="0" applyFont="1" applyBorder="1"/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/>
    </xf>
    <xf numFmtId="2" fontId="9" fillId="0" borderId="1" xfId="0" applyNumberFormat="1" applyFont="1" applyBorder="1"/>
    <xf numFmtId="0" fontId="27" fillId="0" borderId="0" xfId="5" applyFont="1"/>
    <xf numFmtId="0" fontId="29" fillId="0" borderId="24" xfId="5" applyFont="1" applyBorder="1"/>
    <xf numFmtId="0" fontId="29" fillId="0" borderId="0" xfId="5" applyFont="1"/>
    <xf numFmtId="0" fontId="28" fillId="0" borderId="0" xfId="5" applyFont="1"/>
    <xf numFmtId="0" fontId="27" fillId="0" borderId="25" xfId="5" applyFont="1" applyBorder="1"/>
    <xf numFmtId="0" fontId="27" fillId="0" borderId="24" xfId="5" applyFont="1" applyBorder="1"/>
    <xf numFmtId="0" fontId="29" fillId="0" borderId="29" xfId="5" applyFont="1" applyBorder="1"/>
    <xf numFmtId="0" fontId="27" fillId="0" borderId="30" xfId="5" applyFont="1" applyBorder="1"/>
    <xf numFmtId="0" fontId="29" fillId="0" borderId="30" xfId="5" applyFont="1" applyBorder="1"/>
    <xf numFmtId="0" fontId="27" fillId="0" borderId="31" xfId="5" applyFont="1" applyBorder="1"/>
    <xf numFmtId="0" fontId="28" fillId="0" borderId="0" xfId="5" applyFont="1" applyAlignment="1">
      <alignment horizontal="left"/>
    </xf>
    <xf numFmtId="0" fontId="29" fillId="0" borderId="0" xfId="5" applyFont="1" applyAlignment="1">
      <alignment horizontal="left"/>
    </xf>
    <xf numFmtId="0" fontId="34" fillId="0" borderId="0" xfId="5" applyFont="1" applyAlignment="1">
      <alignment horizontal="left"/>
    </xf>
    <xf numFmtId="0" fontId="36" fillId="0" borderId="0" xfId="5" applyFont="1"/>
    <xf numFmtId="164" fontId="27" fillId="0" borderId="0" xfId="5" applyNumberFormat="1" applyFont="1"/>
    <xf numFmtId="2" fontId="37" fillId="0" borderId="19" xfId="5" applyNumberFormat="1" applyFont="1" applyBorder="1"/>
    <xf numFmtId="49" fontId="29" fillId="0" borderId="0" xfId="5" applyNumberFormat="1" applyFont="1"/>
    <xf numFmtId="165" fontId="13" fillId="0" borderId="1" xfId="0" applyNumberFormat="1" applyFont="1" applyBorder="1"/>
    <xf numFmtId="1" fontId="13" fillId="0" borderId="1" xfId="0" applyNumberFormat="1" applyFont="1" applyBorder="1"/>
    <xf numFmtId="0" fontId="9" fillId="0" borderId="8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49" fontId="9" fillId="0" borderId="18" xfId="0" applyNumberFormat="1" applyFont="1" applyBorder="1" applyAlignment="1">
      <alignment horizontal="left" vertical="center"/>
    </xf>
    <xf numFmtId="49" fontId="9" fillId="0" borderId="19" xfId="0" applyNumberFormat="1" applyFont="1" applyBorder="1" applyAlignment="1">
      <alignment horizontal="left" vertical="center"/>
    </xf>
    <xf numFmtId="49" fontId="9" fillId="0" borderId="20" xfId="0" applyNumberFormat="1" applyFont="1" applyBorder="1" applyAlignment="1">
      <alignment horizontal="left" vertical="center"/>
    </xf>
    <xf numFmtId="0" fontId="11" fillId="0" borderId="17" xfId="0" applyFont="1" applyBorder="1" applyAlignment="1">
      <alignment horizontal="center" vertical="center"/>
    </xf>
    <xf numFmtId="49" fontId="21" fillId="0" borderId="14" xfId="0" applyNumberFormat="1" applyFont="1" applyBorder="1" applyAlignment="1">
      <alignment horizontal="left" vertical="center"/>
    </xf>
    <xf numFmtId="49" fontId="21" fillId="0" borderId="15" xfId="0" applyNumberFormat="1" applyFont="1" applyBorder="1" applyAlignment="1">
      <alignment horizontal="left" vertical="center"/>
    </xf>
    <xf numFmtId="49" fontId="21" fillId="0" borderId="16" xfId="0" applyNumberFormat="1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28" fillId="0" borderId="0" xfId="5" applyFont="1" applyAlignment="1">
      <alignment horizontal="center"/>
    </xf>
    <xf numFmtId="0" fontId="28" fillId="0" borderId="32" xfId="5" applyFont="1" applyBorder="1" applyAlignment="1">
      <alignment horizontal="center"/>
    </xf>
    <xf numFmtId="0" fontId="26" fillId="0" borderId="21" xfId="5" applyFont="1" applyBorder="1" applyAlignment="1">
      <alignment horizontal="center"/>
    </xf>
    <xf numFmtId="0" fontId="26" fillId="0" borderId="22" xfId="5" applyFont="1" applyBorder="1" applyAlignment="1">
      <alignment horizontal="center"/>
    </xf>
    <xf numFmtId="0" fontId="26" fillId="0" borderId="23" xfId="5" applyFont="1" applyBorder="1" applyAlignment="1">
      <alignment horizontal="center"/>
    </xf>
    <xf numFmtId="0" fontId="28" fillId="0" borderId="24" xfId="5" applyFont="1" applyBorder="1" applyAlignment="1">
      <alignment horizontal="center"/>
    </xf>
    <xf numFmtId="0" fontId="28" fillId="0" borderId="25" xfId="5" applyFont="1" applyBorder="1" applyAlignment="1">
      <alignment horizontal="center"/>
    </xf>
    <xf numFmtId="0" fontId="29" fillId="0" borderId="24" xfId="5" applyFont="1" applyBorder="1"/>
    <xf numFmtId="0" fontId="29" fillId="0" borderId="0" xfId="5" applyFont="1"/>
    <xf numFmtId="0" fontId="30" fillId="0" borderId="27" xfId="5" applyFont="1" applyBorder="1" applyAlignment="1">
      <alignment horizontal="center" vertical="center"/>
    </xf>
    <xf numFmtId="0" fontId="30" fillId="0" borderId="28" xfId="5" applyFont="1" applyBorder="1" applyAlignment="1">
      <alignment horizontal="center" vertical="center"/>
    </xf>
    <xf numFmtId="2" fontId="38" fillId="0" borderId="1" xfId="5" applyNumberFormat="1" applyFont="1" applyBorder="1"/>
    <xf numFmtId="2" fontId="38" fillId="0" borderId="0" xfId="5" applyNumberFormat="1" applyFont="1"/>
    <xf numFmtId="2" fontId="38" fillId="0" borderId="19" xfId="5" applyNumberFormat="1" applyFont="1" applyBorder="1"/>
    <xf numFmtId="2" fontId="38" fillId="0" borderId="33" xfId="5" applyNumberFormat="1" applyFont="1" applyBorder="1"/>
    <xf numFmtId="2" fontId="38" fillId="0" borderId="32" xfId="5" applyNumberFormat="1" applyFont="1" applyBorder="1"/>
    <xf numFmtId="2" fontId="30" fillId="0" borderId="26" xfId="5" applyNumberFormat="1" applyFont="1" applyBorder="1" applyAlignment="1">
      <alignment horizontal="center" vertical="center"/>
    </xf>
    <xf numFmtId="2" fontId="30" fillId="0" borderId="27" xfId="5" applyNumberFormat="1" applyFont="1" applyBorder="1" applyAlignment="1">
      <alignment horizontal="center" vertical="center"/>
    </xf>
  </cellXfs>
  <cellStyles count="6">
    <cellStyle name="Normal" xfId="0" builtinId="0"/>
    <cellStyle name="Normal 2" xfId="1"/>
    <cellStyle name="Normal 3" xfId="2"/>
    <cellStyle name="Normal 4" xfId="4"/>
    <cellStyle name="Normal 5" xfId="5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</a:t>
            </a:r>
            <a:r>
              <a:rPr lang="en-US" baseline="0"/>
              <a:t> Title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Γραφήματα!$B$3</c:f>
              <c:strCache>
                <c:ptCount val="1"/>
                <c:pt idx="0">
                  <c:v>Νίκες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06-4381-9C7C-F04BC38DFE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06-4381-9C7C-F04BC38DFE8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906-4381-9C7C-F04BC38DFE8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906-4381-9C7C-F04BC38DFE8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906-4381-9C7C-F04BC38DFE8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906-4381-9C7C-F04BC38DFE8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906-4381-9C7C-F04BC38DFE87}"/>
              </c:ext>
            </c:extLst>
          </c:dPt>
          <c:cat>
            <c:strRef>
              <c:f>Γραφήματα!$A$4:$A$10</c:f>
              <c:strCache>
                <c:ptCount val="7"/>
                <c:pt idx="0">
                  <c:v>Boston Celtics</c:v>
                </c:pt>
                <c:pt idx="1">
                  <c:v>Golden State Warriors</c:v>
                </c:pt>
                <c:pt idx="2">
                  <c:v>Houston Rockets</c:v>
                </c:pt>
                <c:pt idx="3">
                  <c:v>Cleveland Cavaliers</c:v>
                </c:pt>
                <c:pt idx="4">
                  <c:v>San Antonio Spurs</c:v>
                </c:pt>
                <c:pt idx="5">
                  <c:v>Toronto Raptors</c:v>
                </c:pt>
                <c:pt idx="6">
                  <c:v>Minnesota Timberwolves</c:v>
                </c:pt>
              </c:strCache>
            </c:strRef>
          </c:cat>
          <c:val>
            <c:numRef>
              <c:f>Γραφήματα!$B$4:$B$10</c:f>
              <c:numCache>
                <c:formatCode>General</c:formatCode>
                <c:ptCount val="7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19</c:v>
                </c:pt>
                <c:pt idx="5">
                  <c:v>18</c:v>
                </c:pt>
                <c:pt idx="6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906-4381-9C7C-F04BC38DF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121920</xdr:colOff>
      <xdr:row>4</xdr:row>
      <xdr:rowOff>15240</xdr:rowOff>
    </xdr:from>
    <xdr:to>
      <xdr:col>0</xdr:col>
      <xdr:colOff>409920</xdr:colOff>
      <xdr:row>4</xdr:row>
      <xdr:rowOff>303240</xdr:rowOff>
    </xdr:to>
    <xdr:pic>
      <xdr:nvPicPr>
        <xdr:cNvPr id="30" name="Picture 29" descr="pafos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" y="883920"/>
          <a:ext cx="288000" cy="28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110490</xdr:colOff>
      <xdr:row>7</xdr:row>
      <xdr:rowOff>11430</xdr:rowOff>
    </xdr:from>
    <xdr:to>
      <xdr:col>0</xdr:col>
      <xdr:colOff>398490</xdr:colOff>
      <xdr:row>7</xdr:row>
      <xdr:rowOff>301335</xdr:rowOff>
    </xdr:to>
    <xdr:pic>
      <xdr:nvPicPr>
        <xdr:cNvPr id="31" name="Picture 30" descr="aris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" y="1868805"/>
          <a:ext cx="288000" cy="289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121920</xdr:colOff>
      <xdr:row>6</xdr:row>
      <xdr:rowOff>22860</xdr:rowOff>
    </xdr:from>
    <xdr:to>
      <xdr:col>0</xdr:col>
      <xdr:colOff>409920</xdr:colOff>
      <xdr:row>6</xdr:row>
      <xdr:rowOff>310860</xdr:rowOff>
    </xdr:to>
    <xdr:pic>
      <xdr:nvPicPr>
        <xdr:cNvPr id="32" name="Picture 31" descr="aek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" y="1325880"/>
          <a:ext cx="288000" cy="28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9</xdr:row>
      <xdr:rowOff>22860</xdr:rowOff>
    </xdr:from>
    <xdr:to>
      <xdr:col>0</xdr:col>
      <xdr:colOff>402300</xdr:colOff>
      <xdr:row>9</xdr:row>
      <xdr:rowOff>310860</xdr:rowOff>
    </xdr:to>
    <xdr:pic>
      <xdr:nvPicPr>
        <xdr:cNvPr id="33" name="Picture 32" descr="apollon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508885"/>
          <a:ext cx="288000" cy="28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106680</xdr:colOff>
      <xdr:row>8</xdr:row>
      <xdr:rowOff>0</xdr:rowOff>
    </xdr:from>
    <xdr:to>
      <xdr:col>0</xdr:col>
      <xdr:colOff>394680</xdr:colOff>
      <xdr:row>8</xdr:row>
      <xdr:rowOff>288000</xdr:rowOff>
    </xdr:to>
    <xdr:pic>
      <xdr:nvPicPr>
        <xdr:cNvPr id="34" name="Picture 33" descr="apoel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" y="1927860"/>
          <a:ext cx="288000" cy="28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5</xdr:row>
      <xdr:rowOff>0</xdr:rowOff>
    </xdr:from>
    <xdr:to>
      <xdr:col>0</xdr:col>
      <xdr:colOff>402300</xdr:colOff>
      <xdr:row>5</xdr:row>
      <xdr:rowOff>289905</xdr:rowOff>
    </xdr:to>
    <xdr:pic>
      <xdr:nvPicPr>
        <xdr:cNvPr id="35" name="Picture 34" descr="omonoia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228725"/>
          <a:ext cx="288000" cy="289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99060</xdr:colOff>
      <xdr:row>10</xdr:row>
      <xdr:rowOff>15240</xdr:rowOff>
    </xdr:from>
    <xdr:to>
      <xdr:col>0</xdr:col>
      <xdr:colOff>387060</xdr:colOff>
      <xdr:row>10</xdr:row>
      <xdr:rowOff>303240</xdr:rowOff>
    </xdr:to>
    <xdr:pic>
      <xdr:nvPicPr>
        <xdr:cNvPr id="36" name="Picture 35" descr="ael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2567940"/>
          <a:ext cx="288000" cy="28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108585</xdr:colOff>
      <xdr:row>13</xdr:row>
      <xdr:rowOff>15240</xdr:rowOff>
    </xdr:from>
    <xdr:to>
      <xdr:col>0</xdr:col>
      <xdr:colOff>396585</xdr:colOff>
      <xdr:row>13</xdr:row>
      <xdr:rowOff>303240</xdr:rowOff>
    </xdr:to>
    <xdr:pic>
      <xdr:nvPicPr>
        <xdr:cNvPr id="37" name="Picture 36" descr="anorthosis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" y="3758565"/>
          <a:ext cx="288000" cy="28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12</xdr:row>
      <xdr:rowOff>7620</xdr:rowOff>
    </xdr:from>
    <xdr:to>
      <xdr:col>0</xdr:col>
      <xdr:colOff>379440</xdr:colOff>
      <xdr:row>12</xdr:row>
      <xdr:rowOff>295620</xdr:rowOff>
    </xdr:to>
    <xdr:pic>
      <xdr:nvPicPr>
        <xdr:cNvPr id="38" name="Picture 37" descr="ethnikos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3185160"/>
          <a:ext cx="288000" cy="28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104775</xdr:colOff>
      <xdr:row>11</xdr:row>
      <xdr:rowOff>9525</xdr:rowOff>
    </xdr:from>
    <xdr:to>
      <xdr:col>0</xdr:col>
      <xdr:colOff>390525</xdr:colOff>
      <xdr:row>11</xdr:row>
      <xdr:rowOff>295275</xdr:rowOff>
    </xdr:to>
    <xdr:pic>
      <xdr:nvPicPr>
        <xdr:cNvPr id="16" name="Picture 15" descr="Ολυμπιακός Λευκωσίας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1242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12</xdr:col>
      <xdr:colOff>304800</xdr:colOff>
      <xdr:row>18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39DEE6E-C458-41CA-9D72-74BE9588CC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28" sqref="F28"/>
    </sheetView>
  </sheetViews>
  <sheetFormatPr defaultRowHeight="12.7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zoomScaleNormal="100" zoomScaleSheetLayoutView="100" workbookViewId="0">
      <selection activeCell="L27" sqref="L27"/>
    </sheetView>
  </sheetViews>
  <sheetFormatPr defaultRowHeight="12.75" x14ac:dyDescent="0.2"/>
  <cols>
    <col min="1" max="1" width="4.42578125" customWidth="1"/>
    <col min="2" max="2" width="13.85546875" bestFit="1" customWidth="1"/>
    <col min="3" max="3" width="11.5703125" bestFit="1" customWidth="1"/>
    <col min="4" max="4" width="5" bestFit="1" customWidth="1"/>
    <col min="5" max="5" width="6.7109375" bestFit="1" customWidth="1"/>
    <col min="6" max="6" width="7.7109375" bestFit="1" customWidth="1"/>
    <col min="7" max="7" width="6.140625" customWidth="1"/>
    <col min="8" max="8" width="17.42578125" customWidth="1"/>
    <col min="9" max="9" width="8.5703125" bestFit="1" customWidth="1"/>
  </cols>
  <sheetData>
    <row r="1" spans="1:9" ht="15" x14ac:dyDescent="0.25">
      <c r="A1" s="18" t="s">
        <v>42</v>
      </c>
      <c r="B1" s="18"/>
      <c r="C1" s="18"/>
      <c r="D1" s="18"/>
      <c r="E1" s="18"/>
      <c r="F1" s="18"/>
      <c r="G1" s="1"/>
      <c r="H1" s="1"/>
      <c r="I1" s="1"/>
    </row>
    <row r="2" spans="1:9" ht="15" x14ac:dyDescent="0.25">
      <c r="A2" s="18" t="s">
        <v>87</v>
      </c>
      <c r="B2" s="18" t="s">
        <v>82</v>
      </c>
      <c r="C2" s="18" t="s">
        <v>43</v>
      </c>
      <c r="D2" s="18" t="s">
        <v>44</v>
      </c>
      <c r="E2" s="18" t="s">
        <v>45</v>
      </c>
      <c r="F2" s="18" t="s">
        <v>46</v>
      </c>
      <c r="G2" s="18" t="s">
        <v>47</v>
      </c>
      <c r="H2" s="1"/>
      <c r="I2" s="1"/>
    </row>
    <row r="3" spans="1:9" ht="15" x14ac:dyDescent="0.25">
      <c r="A3" s="1">
        <v>1</v>
      </c>
      <c r="B3" s="18" t="s">
        <v>49</v>
      </c>
      <c r="C3" s="18" t="s">
        <v>50</v>
      </c>
      <c r="D3" s="18">
        <v>3198</v>
      </c>
      <c r="E3" s="19" t="s">
        <v>51</v>
      </c>
      <c r="F3" s="20">
        <v>82</v>
      </c>
      <c r="G3" s="18" t="str">
        <f t="shared" ref="G3:G20" si="0">IF(F3&gt;=75,"Pass","Fail")</f>
        <v>Pass</v>
      </c>
      <c r="H3" s="1"/>
      <c r="I3" s="1"/>
    </row>
    <row r="4" spans="1:9" ht="15" x14ac:dyDescent="0.25">
      <c r="A4" s="1">
        <v>2</v>
      </c>
      <c r="B4" s="18" t="s">
        <v>52</v>
      </c>
      <c r="C4" s="18" t="s">
        <v>53</v>
      </c>
      <c r="D4" s="18">
        <v>3204</v>
      </c>
      <c r="E4" s="19" t="s">
        <v>51</v>
      </c>
      <c r="F4" s="20">
        <v>89</v>
      </c>
      <c r="G4" s="18" t="str">
        <f t="shared" si="0"/>
        <v>Pass</v>
      </c>
      <c r="H4" s="1"/>
      <c r="I4" s="1"/>
    </row>
    <row r="5" spans="1:9" ht="15" x14ac:dyDescent="0.25">
      <c r="A5" s="1">
        <v>3</v>
      </c>
      <c r="B5" s="18" t="s">
        <v>54</v>
      </c>
      <c r="C5" s="18" t="s">
        <v>55</v>
      </c>
      <c r="D5" s="18">
        <v>3210</v>
      </c>
      <c r="E5" s="19" t="s">
        <v>51</v>
      </c>
      <c r="F5" s="20">
        <v>78</v>
      </c>
      <c r="G5" s="18" t="str">
        <f t="shared" si="0"/>
        <v>Pass</v>
      </c>
      <c r="H5" s="1"/>
      <c r="I5" s="1"/>
    </row>
    <row r="6" spans="1:9" ht="15" x14ac:dyDescent="0.25">
      <c r="A6" s="1">
        <v>4</v>
      </c>
      <c r="B6" s="18" t="s">
        <v>56</v>
      </c>
      <c r="C6" s="18" t="s">
        <v>57</v>
      </c>
      <c r="D6" s="18">
        <v>3213</v>
      </c>
      <c r="E6" s="19" t="s">
        <v>51</v>
      </c>
      <c r="F6" s="20">
        <v>72</v>
      </c>
      <c r="G6" s="18" t="str">
        <f t="shared" si="0"/>
        <v>Fail</v>
      </c>
      <c r="H6" s="1"/>
      <c r="I6" s="1"/>
    </row>
    <row r="7" spans="1:9" ht="15" x14ac:dyDescent="0.25">
      <c r="A7" s="1">
        <v>5</v>
      </c>
      <c r="B7" s="18" t="s">
        <v>58</v>
      </c>
      <c r="C7" s="18" t="s">
        <v>59</v>
      </c>
      <c r="D7" s="18">
        <v>3220</v>
      </c>
      <c r="E7" s="19" t="s">
        <v>51</v>
      </c>
      <c r="F7" s="20">
        <v>88</v>
      </c>
      <c r="G7" s="18" t="str">
        <f t="shared" si="0"/>
        <v>Pass</v>
      </c>
      <c r="H7" s="18" t="s">
        <v>48</v>
      </c>
      <c r="I7" s="18"/>
    </row>
    <row r="8" spans="1:9" ht="15" x14ac:dyDescent="0.25">
      <c r="A8" s="1">
        <v>6</v>
      </c>
      <c r="B8" s="18" t="s">
        <v>60</v>
      </c>
      <c r="C8" s="18" t="s">
        <v>61</v>
      </c>
      <c r="D8" s="18">
        <v>3226</v>
      </c>
      <c r="E8" s="19" t="s">
        <v>51</v>
      </c>
      <c r="F8" s="20">
        <v>70</v>
      </c>
      <c r="G8" s="18" t="str">
        <f t="shared" si="0"/>
        <v>Fail</v>
      </c>
      <c r="H8" s="18" t="s">
        <v>83</v>
      </c>
      <c r="I8" s="18">
        <f>COUNT(F3:F20)</f>
        <v>18</v>
      </c>
    </row>
    <row r="9" spans="1:9" ht="15" x14ac:dyDescent="0.25">
      <c r="A9" s="1">
        <v>7</v>
      </c>
      <c r="B9" s="18" t="s">
        <v>62</v>
      </c>
      <c r="C9" s="18" t="s">
        <v>63</v>
      </c>
      <c r="D9" s="18">
        <v>3232</v>
      </c>
      <c r="E9" s="19" t="s">
        <v>51</v>
      </c>
      <c r="F9" s="20">
        <v>91</v>
      </c>
      <c r="G9" s="18" t="str">
        <f t="shared" si="0"/>
        <v>Pass</v>
      </c>
      <c r="H9" s="18" t="s">
        <v>84</v>
      </c>
      <c r="I9" s="18">
        <f>COUNTIF(G3:G20,"Pass")</f>
        <v>14</v>
      </c>
    </row>
    <row r="10" spans="1:9" ht="15" x14ac:dyDescent="0.25">
      <c r="A10" s="1">
        <v>8</v>
      </c>
      <c r="B10" s="18" t="s">
        <v>64</v>
      </c>
      <c r="C10" s="18" t="s">
        <v>65</v>
      </c>
      <c r="D10" s="18">
        <v>3235</v>
      </c>
      <c r="E10" s="19" t="s">
        <v>51</v>
      </c>
      <c r="F10" s="20">
        <v>93</v>
      </c>
      <c r="G10" s="18" t="str">
        <f t="shared" si="0"/>
        <v>Pass</v>
      </c>
      <c r="H10" s="18" t="s">
        <v>85</v>
      </c>
      <c r="I10" s="18">
        <f>COUNTIF(G3:G20,"Fail")</f>
        <v>4</v>
      </c>
    </row>
    <row r="11" spans="1:9" ht="15" x14ac:dyDescent="0.25">
      <c r="A11" s="1">
        <v>9</v>
      </c>
      <c r="B11" s="18" t="s">
        <v>66</v>
      </c>
      <c r="C11" s="18" t="s">
        <v>8</v>
      </c>
      <c r="D11" s="18">
        <v>3242</v>
      </c>
      <c r="E11" s="19" t="s">
        <v>51</v>
      </c>
      <c r="F11" s="20">
        <v>75</v>
      </c>
      <c r="G11" s="18" t="str">
        <f t="shared" si="0"/>
        <v>Pass</v>
      </c>
      <c r="H11" s="18" t="s">
        <v>86</v>
      </c>
      <c r="I11" s="18">
        <f>I9/I8*100</f>
        <v>77.777777777777786</v>
      </c>
    </row>
    <row r="12" spans="1:9" ht="15" x14ac:dyDescent="0.25">
      <c r="A12" s="1">
        <v>10</v>
      </c>
      <c r="B12" s="18" t="s">
        <v>67</v>
      </c>
      <c r="C12" s="18" t="s">
        <v>68</v>
      </c>
      <c r="D12" s="18">
        <v>3248</v>
      </c>
      <c r="E12" s="19" t="s">
        <v>51</v>
      </c>
      <c r="F12" s="20">
        <v>91</v>
      </c>
      <c r="G12" s="18" t="str">
        <f t="shared" si="0"/>
        <v>Pass</v>
      </c>
      <c r="H12" s="1"/>
      <c r="I12" s="1"/>
    </row>
    <row r="13" spans="1:9" ht="15" x14ac:dyDescent="0.25">
      <c r="A13" s="1">
        <v>11</v>
      </c>
      <c r="B13" s="18" t="s">
        <v>69</v>
      </c>
      <c r="C13" s="18" t="s">
        <v>70</v>
      </c>
      <c r="D13" s="18">
        <v>3254</v>
      </c>
      <c r="E13" s="19" t="s">
        <v>51</v>
      </c>
      <c r="F13" s="20">
        <v>75</v>
      </c>
      <c r="G13" s="18" t="str">
        <f t="shared" si="0"/>
        <v>Pass</v>
      </c>
      <c r="H13" s="1"/>
      <c r="I13" s="1"/>
    </row>
    <row r="14" spans="1:9" ht="15" x14ac:dyDescent="0.25">
      <c r="A14" s="1">
        <v>12</v>
      </c>
      <c r="B14" s="18" t="s">
        <v>71</v>
      </c>
      <c r="C14" s="18" t="s">
        <v>72</v>
      </c>
      <c r="D14" s="18">
        <v>3257</v>
      </c>
      <c r="E14" s="19" t="s">
        <v>51</v>
      </c>
      <c r="F14" s="20">
        <v>79</v>
      </c>
      <c r="G14" s="18" t="str">
        <f t="shared" si="0"/>
        <v>Pass</v>
      </c>
      <c r="H14" s="1"/>
      <c r="I14" s="1"/>
    </row>
    <row r="15" spans="1:9" ht="15" x14ac:dyDescent="0.25">
      <c r="A15" s="1">
        <v>13</v>
      </c>
      <c r="B15" s="18" t="s">
        <v>73</v>
      </c>
      <c r="C15" s="18" t="s">
        <v>70</v>
      </c>
      <c r="D15" s="18">
        <v>3265</v>
      </c>
      <c r="E15" s="19" t="s">
        <v>51</v>
      </c>
      <c r="F15" s="20">
        <v>83</v>
      </c>
      <c r="G15" s="18" t="str">
        <f t="shared" si="0"/>
        <v>Pass</v>
      </c>
      <c r="H15" s="1"/>
      <c r="I15" s="1"/>
    </row>
    <row r="16" spans="1:9" ht="15" x14ac:dyDescent="0.25">
      <c r="A16" s="1">
        <v>14</v>
      </c>
      <c r="B16" s="18" t="s">
        <v>52</v>
      </c>
      <c r="C16" s="18" t="s">
        <v>74</v>
      </c>
      <c r="D16" s="18">
        <v>3202</v>
      </c>
      <c r="E16" s="19" t="s">
        <v>75</v>
      </c>
      <c r="F16" s="20">
        <v>70</v>
      </c>
      <c r="G16" s="18" t="str">
        <f t="shared" si="0"/>
        <v>Fail</v>
      </c>
      <c r="H16" s="1"/>
      <c r="I16" s="1"/>
    </row>
    <row r="17" spans="1:9" ht="15" x14ac:dyDescent="0.25">
      <c r="A17" s="1">
        <v>15</v>
      </c>
      <c r="B17" s="18" t="s">
        <v>76</v>
      </c>
      <c r="C17" s="18" t="s">
        <v>77</v>
      </c>
      <c r="D17" s="18">
        <v>3205</v>
      </c>
      <c r="E17" s="19" t="s">
        <v>75</v>
      </c>
      <c r="F17" s="20">
        <v>100</v>
      </c>
      <c r="G17" s="18" t="str">
        <f t="shared" si="0"/>
        <v>Pass</v>
      </c>
      <c r="H17" s="1"/>
      <c r="I17" s="1"/>
    </row>
    <row r="18" spans="1:9" ht="15" x14ac:dyDescent="0.25">
      <c r="A18" s="1">
        <v>16</v>
      </c>
      <c r="B18" s="18" t="s">
        <v>56</v>
      </c>
      <c r="C18" s="18" t="s">
        <v>78</v>
      </c>
      <c r="D18" s="18">
        <v>3212</v>
      </c>
      <c r="E18" s="19" t="s">
        <v>75</v>
      </c>
      <c r="F18" s="20">
        <v>84</v>
      </c>
      <c r="G18" s="18" t="str">
        <f t="shared" si="0"/>
        <v>Pass</v>
      </c>
      <c r="H18" s="1"/>
      <c r="I18" s="1"/>
    </row>
    <row r="19" spans="1:9" ht="15" x14ac:dyDescent="0.25">
      <c r="A19" s="1">
        <v>17</v>
      </c>
      <c r="B19" s="18" t="s">
        <v>79</v>
      </c>
      <c r="C19" s="18" t="s">
        <v>80</v>
      </c>
      <c r="D19" s="18">
        <v>3219</v>
      </c>
      <c r="E19" s="19" t="s">
        <v>75</v>
      </c>
      <c r="F19" s="20">
        <v>55</v>
      </c>
      <c r="G19" s="18" t="str">
        <f t="shared" si="0"/>
        <v>Fail</v>
      </c>
      <c r="H19" s="1"/>
      <c r="I19" s="1"/>
    </row>
    <row r="20" spans="1:9" ht="15" x14ac:dyDescent="0.25">
      <c r="A20" s="1">
        <v>18</v>
      </c>
      <c r="B20" s="18" t="s">
        <v>81</v>
      </c>
      <c r="C20" s="28" t="s">
        <v>53</v>
      </c>
      <c r="D20" s="18">
        <v>3224</v>
      </c>
      <c r="E20" s="19" t="s">
        <v>75</v>
      </c>
      <c r="F20" s="20">
        <v>78</v>
      </c>
      <c r="G20" s="18" t="str">
        <f t="shared" si="0"/>
        <v>Pass</v>
      </c>
      <c r="H20" s="1"/>
      <c r="I20" s="1"/>
    </row>
    <row r="21" spans="1:9" x14ac:dyDescent="0.2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">
      <c r="A24" s="1"/>
      <c r="B24" s="1"/>
      <c r="C24" s="1"/>
      <c r="D24" s="1"/>
      <c r="E24" s="1"/>
      <c r="F24" s="1"/>
      <c r="G24" s="1"/>
      <c r="H24" s="1"/>
      <c r="I24" s="1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selection activeCell="K20" sqref="K20"/>
    </sheetView>
  </sheetViews>
  <sheetFormatPr defaultColWidth="9.140625" defaultRowHeight="15" x14ac:dyDescent="0.25"/>
  <cols>
    <col min="1" max="1" width="9.140625" style="23"/>
    <col min="2" max="2" width="9.5703125" style="23" customWidth="1"/>
    <col min="3" max="3" width="13.85546875" style="23" bestFit="1" customWidth="1"/>
    <col min="4" max="4" width="7.28515625" style="23" customWidth="1"/>
    <col min="5" max="16384" width="9.140625" style="23"/>
  </cols>
  <sheetData>
    <row r="1" spans="1:12" ht="15.75" x14ac:dyDescent="0.25">
      <c r="A1" s="21" t="s">
        <v>88</v>
      </c>
      <c r="B1" s="22"/>
    </row>
    <row r="2" spans="1:12" ht="15.75" x14ac:dyDescent="0.25">
      <c r="A2" s="24" t="s">
        <v>89</v>
      </c>
      <c r="C2" s="24" t="s">
        <v>75</v>
      </c>
    </row>
    <row r="3" spans="1:12" x14ac:dyDescent="0.25">
      <c r="A3" s="25" t="s">
        <v>90</v>
      </c>
      <c r="B3" s="25" t="s">
        <v>44</v>
      </c>
      <c r="C3" s="25" t="s">
        <v>82</v>
      </c>
      <c r="D3" s="25" t="s">
        <v>43</v>
      </c>
      <c r="E3" s="25" t="s">
        <v>46</v>
      </c>
      <c r="F3" s="25"/>
      <c r="G3" s="25" t="s">
        <v>46</v>
      </c>
      <c r="L3" s="26"/>
    </row>
    <row r="4" spans="1:12" x14ac:dyDescent="0.25">
      <c r="B4" s="27">
        <v>2847</v>
      </c>
      <c r="C4" s="23" t="s">
        <v>91</v>
      </c>
      <c r="D4" s="23" t="s">
        <v>92</v>
      </c>
      <c r="E4" s="23">
        <v>7</v>
      </c>
      <c r="G4" s="23">
        <v>7</v>
      </c>
      <c r="L4" s="26"/>
    </row>
    <row r="5" spans="1:12" x14ac:dyDescent="0.25">
      <c r="B5" s="27">
        <v>2886</v>
      </c>
      <c r="C5" s="23" t="s">
        <v>52</v>
      </c>
      <c r="D5" s="23" t="s">
        <v>55</v>
      </c>
      <c r="E5" s="23">
        <v>14</v>
      </c>
      <c r="G5" s="23">
        <v>14</v>
      </c>
      <c r="L5" s="26"/>
    </row>
    <row r="6" spans="1:12" x14ac:dyDescent="0.25">
      <c r="B6" s="27">
        <v>2880</v>
      </c>
      <c r="C6" s="23" t="s">
        <v>93</v>
      </c>
      <c r="D6" s="23" t="s">
        <v>94</v>
      </c>
      <c r="E6" s="23">
        <v>16</v>
      </c>
      <c r="G6" s="23">
        <v>16</v>
      </c>
      <c r="L6" s="26"/>
    </row>
    <row r="7" spans="1:12" x14ac:dyDescent="0.25">
      <c r="B7" s="27">
        <v>2907</v>
      </c>
      <c r="C7" s="23" t="s">
        <v>56</v>
      </c>
      <c r="D7" s="23" t="s">
        <v>95</v>
      </c>
      <c r="E7" s="23">
        <v>6</v>
      </c>
      <c r="G7" s="23">
        <v>6</v>
      </c>
      <c r="L7" s="26"/>
    </row>
    <row r="8" spans="1:12" x14ac:dyDescent="0.25">
      <c r="B8" s="27">
        <v>2906</v>
      </c>
      <c r="C8" s="23" t="s">
        <v>56</v>
      </c>
      <c r="D8" s="23" t="s">
        <v>96</v>
      </c>
      <c r="E8" s="23">
        <v>20</v>
      </c>
      <c r="G8" s="23">
        <v>20</v>
      </c>
      <c r="L8" s="26"/>
    </row>
    <row r="9" spans="1:12" x14ac:dyDescent="0.25">
      <c r="B9" s="27">
        <v>2866</v>
      </c>
      <c r="C9" s="23" t="s">
        <v>97</v>
      </c>
      <c r="D9" s="23" t="s">
        <v>98</v>
      </c>
      <c r="E9" s="23">
        <v>12</v>
      </c>
      <c r="G9" s="23">
        <v>12</v>
      </c>
      <c r="L9" s="26"/>
    </row>
    <row r="10" spans="1:12" x14ac:dyDescent="0.25">
      <c r="B10" s="27">
        <v>2925</v>
      </c>
      <c r="C10" s="23" t="s">
        <v>99</v>
      </c>
      <c r="D10" s="23" t="s">
        <v>100</v>
      </c>
      <c r="E10" s="23">
        <v>9</v>
      </c>
      <c r="G10" s="23">
        <v>9</v>
      </c>
      <c r="L10" s="26"/>
    </row>
    <row r="11" spans="1:12" x14ac:dyDescent="0.25">
      <c r="B11" s="27">
        <v>2852</v>
      </c>
      <c r="C11" s="23" t="s">
        <v>101</v>
      </c>
      <c r="D11" s="23" t="s">
        <v>102</v>
      </c>
      <c r="E11" s="23">
        <v>15</v>
      </c>
      <c r="G11" s="23">
        <v>15</v>
      </c>
      <c r="L11" s="26"/>
    </row>
    <row r="12" spans="1:12" x14ac:dyDescent="0.25">
      <c r="B12" s="27">
        <v>2892</v>
      </c>
      <c r="C12" s="23" t="s">
        <v>103</v>
      </c>
      <c r="D12" s="23" t="s">
        <v>104</v>
      </c>
      <c r="E12" s="23">
        <v>18</v>
      </c>
      <c r="G12" s="23">
        <v>18</v>
      </c>
      <c r="L12" s="26"/>
    </row>
    <row r="13" spans="1:12" x14ac:dyDescent="0.25">
      <c r="B13" s="27">
        <v>2844</v>
      </c>
      <c r="C13" s="23" t="s">
        <v>105</v>
      </c>
      <c r="D13" s="23" t="s">
        <v>106</v>
      </c>
      <c r="E13" s="23">
        <v>13</v>
      </c>
      <c r="G13" s="23">
        <v>13</v>
      </c>
      <c r="L13" s="26"/>
    </row>
    <row r="14" spans="1:12" x14ac:dyDescent="0.25">
      <c r="B14" s="27">
        <v>2881</v>
      </c>
      <c r="C14" s="23" t="s">
        <v>107</v>
      </c>
      <c r="D14" s="23" t="s">
        <v>108</v>
      </c>
      <c r="E14" s="23">
        <v>8</v>
      </c>
      <c r="G14" s="23">
        <v>8</v>
      </c>
      <c r="L14" s="26"/>
    </row>
    <row r="15" spans="1:12" x14ac:dyDescent="0.25">
      <c r="B15" s="27">
        <v>2899</v>
      </c>
      <c r="C15" s="23" t="s">
        <v>67</v>
      </c>
      <c r="D15" s="23" t="s">
        <v>59</v>
      </c>
      <c r="E15" s="23">
        <v>17</v>
      </c>
      <c r="G15" s="23">
        <v>17</v>
      </c>
      <c r="L15" s="26"/>
    </row>
    <row r="16" spans="1:12" x14ac:dyDescent="0.25">
      <c r="B16" s="27">
        <v>2894</v>
      </c>
      <c r="C16" s="23" t="s">
        <v>109</v>
      </c>
      <c r="D16" s="23" t="s">
        <v>110</v>
      </c>
      <c r="E16" s="23">
        <v>20</v>
      </c>
      <c r="G16" s="23">
        <v>20</v>
      </c>
      <c r="L16" s="26"/>
    </row>
    <row r="17" spans="2:12" x14ac:dyDescent="0.25">
      <c r="B17" s="27">
        <v>2902</v>
      </c>
      <c r="C17" s="23" t="s">
        <v>111</v>
      </c>
      <c r="D17" s="23" t="s">
        <v>77</v>
      </c>
      <c r="E17" s="23">
        <v>11</v>
      </c>
      <c r="G17" s="23">
        <v>11</v>
      </c>
      <c r="L17" s="26"/>
    </row>
    <row r="18" spans="2:12" x14ac:dyDescent="0.25">
      <c r="B18" s="27">
        <v>2870</v>
      </c>
      <c r="C18" s="23" t="s">
        <v>112</v>
      </c>
      <c r="D18" s="23" t="s">
        <v>8</v>
      </c>
      <c r="E18" s="23">
        <v>16</v>
      </c>
      <c r="G18" s="23">
        <v>16</v>
      </c>
      <c r="L18" s="26"/>
    </row>
    <row r="19" spans="2:12" x14ac:dyDescent="0.25">
      <c r="B19" s="27">
        <v>2849</v>
      </c>
      <c r="C19" s="23" t="s">
        <v>113</v>
      </c>
      <c r="D19" s="23" t="s">
        <v>114</v>
      </c>
      <c r="E19" s="23">
        <v>19</v>
      </c>
      <c r="G19" s="23">
        <v>19</v>
      </c>
      <c r="L19" s="26"/>
    </row>
    <row r="20" spans="2:12" x14ac:dyDescent="0.25">
      <c r="B20" s="27">
        <v>2910</v>
      </c>
      <c r="C20" s="23" t="s">
        <v>115</v>
      </c>
      <c r="D20" s="23" t="s">
        <v>116</v>
      </c>
      <c r="E20" s="23">
        <v>10</v>
      </c>
      <c r="G20" s="23">
        <v>10</v>
      </c>
      <c r="L20" s="26"/>
    </row>
    <row r="21" spans="2:12" x14ac:dyDescent="0.25">
      <c r="B21" s="27">
        <v>2851</v>
      </c>
      <c r="C21" s="23" t="s">
        <v>117</v>
      </c>
      <c r="D21" s="23" t="s">
        <v>70</v>
      </c>
      <c r="E21" s="23">
        <v>18</v>
      </c>
      <c r="G21" s="23">
        <v>18</v>
      </c>
    </row>
    <row r="23" spans="2:12" x14ac:dyDescent="0.25">
      <c r="D23" s="22" t="s">
        <v>118</v>
      </c>
      <c r="E23" s="23">
        <f>AVERAGE(E4:E21)</f>
        <v>13.833333333333334</v>
      </c>
      <c r="G23" s="23">
        <f>AVERAGE(G4:G21)</f>
        <v>13.833333333333334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F12" sqref="F12"/>
    </sheetView>
  </sheetViews>
  <sheetFormatPr defaultRowHeight="12.75" x14ac:dyDescent="0.2"/>
  <cols>
    <col min="1" max="1" width="15.7109375" bestFit="1" customWidth="1"/>
    <col min="2" max="2" width="15.7109375" customWidth="1"/>
    <col min="3" max="3" width="10" bestFit="1" customWidth="1"/>
    <col min="4" max="4" width="10" customWidth="1"/>
    <col min="5" max="5" width="9" bestFit="1" customWidth="1"/>
  </cols>
  <sheetData>
    <row r="1" spans="1:5" ht="15" x14ac:dyDescent="0.25">
      <c r="A1" s="30" t="s">
        <v>122</v>
      </c>
      <c r="B1" s="30"/>
      <c r="C1" s="30" t="s">
        <v>123</v>
      </c>
      <c r="D1" s="30"/>
      <c r="E1" s="30" t="s">
        <v>124</v>
      </c>
    </row>
    <row r="2" spans="1:5" x14ac:dyDescent="0.2">
      <c r="A2">
        <v>45</v>
      </c>
      <c r="C2">
        <v>895</v>
      </c>
      <c r="E2">
        <v>0.5</v>
      </c>
    </row>
    <row r="3" spans="1:5" x14ac:dyDescent="0.2">
      <c r="A3">
        <v>25</v>
      </c>
      <c r="C3">
        <v>456</v>
      </c>
      <c r="E3">
        <v>0.1</v>
      </c>
    </row>
    <row r="4" spans="1:5" x14ac:dyDescent="0.2">
      <c r="A4">
        <v>38</v>
      </c>
      <c r="C4">
        <v>554</v>
      </c>
      <c r="E4">
        <v>0.2</v>
      </c>
    </row>
    <row r="5" spans="1:5" x14ac:dyDescent="0.2">
      <c r="A5">
        <v>14</v>
      </c>
      <c r="C5">
        <v>752</v>
      </c>
      <c r="E5">
        <v>0.8</v>
      </c>
    </row>
    <row r="6" spans="1:5" x14ac:dyDescent="0.2">
      <c r="A6">
        <v>46</v>
      </c>
      <c r="C6">
        <v>498</v>
      </c>
      <c r="E6">
        <v>0.6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>
      <selection activeCell="L27" sqref="L27"/>
    </sheetView>
  </sheetViews>
  <sheetFormatPr defaultRowHeight="12.75" x14ac:dyDescent="0.2"/>
  <cols>
    <col min="2" max="2" width="25.5703125" bestFit="1" customWidth="1"/>
    <col min="3" max="3" width="8.85546875" bestFit="1" customWidth="1"/>
    <col min="4" max="4" width="6.7109375" bestFit="1" customWidth="1"/>
    <col min="5" max="5" width="11.42578125" bestFit="1" customWidth="1"/>
    <col min="6" max="6" width="7" bestFit="1" customWidth="1"/>
    <col min="7" max="7" width="10" bestFit="1" customWidth="1"/>
    <col min="8" max="8" width="12.28515625" customWidth="1"/>
    <col min="10" max="10" width="9.5703125" customWidth="1"/>
    <col min="11" max="11" width="10.7109375" bestFit="1" customWidth="1"/>
    <col min="15" max="15" width="12" customWidth="1"/>
  </cols>
  <sheetData>
    <row r="1" spans="1:15" ht="18.75" x14ac:dyDescent="0.3">
      <c r="A1" s="68" t="s">
        <v>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5" ht="13.15" customHeight="1" x14ac:dyDescent="0.3">
      <c r="A2" s="3"/>
      <c r="B2" s="3"/>
      <c r="C2" s="3"/>
      <c r="D2" s="3"/>
      <c r="E2" s="3"/>
      <c r="F2" s="3"/>
      <c r="G2" s="3"/>
      <c r="H2" s="4"/>
      <c r="I2" s="4"/>
    </row>
    <row r="3" spans="1:15" ht="13.15" customHeight="1" x14ac:dyDescent="0.2">
      <c r="A3" s="4"/>
      <c r="B3" s="4"/>
      <c r="C3" s="4"/>
      <c r="D3" s="4"/>
      <c r="E3" s="4"/>
      <c r="F3" s="4"/>
      <c r="G3" s="4"/>
      <c r="H3" s="4"/>
      <c r="I3" s="4"/>
    </row>
    <row r="4" spans="1:15" ht="28.15" customHeight="1" thickBot="1" x14ac:dyDescent="0.3">
      <c r="A4" s="42"/>
      <c r="B4" s="43"/>
      <c r="C4" s="44" t="s">
        <v>18</v>
      </c>
      <c r="D4" s="44" t="s">
        <v>19</v>
      </c>
      <c r="E4" s="44" t="s">
        <v>20</v>
      </c>
      <c r="F4" s="44" t="s">
        <v>21</v>
      </c>
      <c r="G4" s="44" t="s">
        <v>22</v>
      </c>
      <c r="H4" s="44" t="s">
        <v>33</v>
      </c>
      <c r="I4" s="4"/>
      <c r="J4" s="4"/>
      <c r="K4" s="4"/>
      <c r="L4" s="4"/>
      <c r="M4" s="2"/>
    </row>
    <row r="5" spans="1:15" ht="25.15" customHeight="1" x14ac:dyDescent="0.25">
      <c r="A5" s="45" t="s">
        <v>23</v>
      </c>
      <c r="B5" s="5" t="s">
        <v>17</v>
      </c>
      <c r="C5" s="6">
        <f>D5+E5+F5</f>
        <v>13</v>
      </c>
      <c r="D5" s="6">
        <v>10</v>
      </c>
      <c r="E5" s="6">
        <v>1</v>
      </c>
      <c r="F5" s="6">
        <v>2</v>
      </c>
      <c r="G5" s="6"/>
      <c r="H5" s="46"/>
      <c r="I5" s="4"/>
      <c r="J5" s="69" t="s">
        <v>22</v>
      </c>
      <c r="K5" s="70"/>
    </row>
    <row r="6" spans="1:15" ht="25.15" customHeight="1" x14ac:dyDescent="0.25">
      <c r="A6" s="45" t="s">
        <v>24</v>
      </c>
      <c r="B6" s="5" t="s">
        <v>12</v>
      </c>
      <c r="C6" s="6">
        <f t="shared" ref="C6:C14" si="0">D6+E6+F6</f>
        <v>13</v>
      </c>
      <c r="D6" s="6">
        <v>9</v>
      </c>
      <c r="E6" s="6">
        <v>2</v>
      </c>
      <c r="F6" s="6">
        <v>2</v>
      </c>
      <c r="G6" s="6"/>
      <c r="H6" s="46"/>
      <c r="I6" s="4"/>
      <c r="J6" s="8" t="s">
        <v>35</v>
      </c>
      <c r="K6" s="9">
        <v>3</v>
      </c>
    </row>
    <row r="7" spans="1:15" ht="25.15" customHeight="1" thickBot="1" x14ac:dyDescent="0.3">
      <c r="A7" s="45" t="s">
        <v>25</v>
      </c>
      <c r="B7" s="5" t="s">
        <v>15</v>
      </c>
      <c r="C7" s="6">
        <f t="shared" si="0"/>
        <v>13</v>
      </c>
      <c r="D7" s="6">
        <v>8</v>
      </c>
      <c r="E7" s="6">
        <v>3</v>
      </c>
      <c r="F7" s="6">
        <v>2</v>
      </c>
      <c r="G7" s="6"/>
      <c r="H7" s="46"/>
      <c r="I7" s="4"/>
      <c r="J7" s="10" t="s">
        <v>36</v>
      </c>
      <c r="K7" s="11">
        <v>1</v>
      </c>
    </row>
    <row r="8" spans="1:15" ht="25.15" customHeight="1" x14ac:dyDescent="0.25">
      <c r="A8" s="45" t="s">
        <v>26</v>
      </c>
      <c r="B8" s="5" t="s">
        <v>16</v>
      </c>
      <c r="C8" s="6">
        <f t="shared" si="0"/>
        <v>13</v>
      </c>
      <c r="D8" s="6">
        <v>8</v>
      </c>
      <c r="E8" s="6">
        <v>2</v>
      </c>
      <c r="F8" s="6">
        <v>3</v>
      </c>
      <c r="G8" s="6"/>
      <c r="H8" s="46"/>
      <c r="I8" s="4"/>
    </row>
    <row r="9" spans="1:15" ht="25.15" customHeight="1" thickBot="1" x14ac:dyDescent="0.3">
      <c r="A9" s="45" t="s">
        <v>27</v>
      </c>
      <c r="B9" s="5" t="s">
        <v>13</v>
      </c>
      <c r="C9" s="6">
        <f t="shared" si="0"/>
        <v>13</v>
      </c>
      <c r="D9" s="6">
        <v>7</v>
      </c>
      <c r="E9" s="6">
        <v>4</v>
      </c>
      <c r="F9" s="6">
        <v>2</v>
      </c>
      <c r="G9" s="6"/>
      <c r="H9" s="46"/>
      <c r="I9" s="4"/>
    </row>
    <row r="10" spans="1:15" ht="25.15" customHeight="1" x14ac:dyDescent="0.25">
      <c r="A10" s="45" t="s">
        <v>28</v>
      </c>
      <c r="B10" s="5" t="s">
        <v>14</v>
      </c>
      <c r="C10" s="6">
        <f t="shared" si="0"/>
        <v>13</v>
      </c>
      <c r="D10" s="6">
        <v>6</v>
      </c>
      <c r="E10" s="6">
        <v>3</v>
      </c>
      <c r="F10" s="6">
        <v>4</v>
      </c>
      <c r="G10" s="6"/>
      <c r="H10" s="46"/>
      <c r="I10" s="4"/>
      <c r="J10" s="71" t="s">
        <v>119</v>
      </c>
      <c r="K10" s="76"/>
      <c r="L10" s="76"/>
      <c r="M10" s="76"/>
      <c r="N10" s="76"/>
      <c r="O10" s="72"/>
    </row>
    <row r="11" spans="1:15" ht="25.15" customHeight="1" x14ac:dyDescent="0.25">
      <c r="A11" s="45" t="s">
        <v>29</v>
      </c>
      <c r="B11" s="5" t="s">
        <v>11</v>
      </c>
      <c r="C11" s="6">
        <f t="shared" si="0"/>
        <v>13</v>
      </c>
      <c r="D11" s="6">
        <v>6</v>
      </c>
      <c r="E11" s="6">
        <v>2</v>
      </c>
      <c r="F11" s="6">
        <v>5</v>
      </c>
      <c r="G11" s="6"/>
      <c r="H11" s="46"/>
      <c r="I11" s="4"/>
      <c r="J11" s="73" t="s">
        <v>120</v>
      </c>
      <c r="K11" s="74"/>
      <c r="L11" s="74"/>
      <c r="M11" s="74"/>
      <c r="N11" s="74"/>
      <c r="O11" s="75"/>
    </row>
    <row r="12" spans="1:15" ht="25.15" customHeight="1" thickBot="1" x14ac:dyDescent="0.3">
      <c r="A12" s="45" t="s">
        <v>30</v>
      </c>
      <c r="B12" s="5" t="s">
        <v>203</v>
      </c>
      <c r="C12" s="6">
        <f t="shared" si="0"/>
        <v>13</v>
      </c>
      <c r="D12" s="6">
        <v>3</v>
      </c>
      <c r="E12" s="6">
        <v>5</v>
      </c>
      <c r="F12" s="6">
        <v>5</v>
      </c>
      <c r="G12" s="6"/>
      <c r="H12" s="46"/>
      <c r="I12" s="4"/>
      <c r="J12" s="77" t="s">
        <v>121</v>
      </c>
      <c r="K12" s="78"/>
      <c r="L12" s="78"/>
      <c r="M12" s="78"/>
      <c r="N12" s="78"/>
      <c r="O12" s="79"/>
    </row>
    <row r="13" spans="1:15" ht="25.15" customHeight="1" x14ac:dyDescent="0.25">
      <c r="A13" s="45" t="s">
        <v>31</v>
      </c>
      <c r="B13" s="5" t="s">
        <v>204</v>
      </c>
      <c r="C13" s="6">
        <f t="shared" si="0"/>
        <v>13</v>
      </c>
      <c r="D13" s="6">
        <v>4</v>
      </c>
      <c r="E13" s="6">
        <v>2</v>
      </c>
      <c r="F13" s="6">
        <v>7</v>
      </c>
      <c r="G13" s="6"/>
      <c r="H13" s="46"/>
      <c r="I13" s="4"/>
      <c r="J13" s="7"/>
      <c r="K13" s="7"/>
      <c r="L13" s="4"/>
    </row>
    <row r="14" spans="1:15" ht="25.15" customHeight="1" thickBot="1" x14ac:dyDescent="0.3">
      <c r="A14" s="45" t="s">
        <v>32</v>
      </c>
      <c r="B14" s="5" t="s">
        <v>10</v>
      </c>
      <c r="C14" s="6">
        <f t="shared" si="0"/>
        <v>13</v>
      </c>
      <c r="D14" s="6">
        <v>2</v>
      </c>
      <c r="E14" s="6">
        <v>7</v>
      </c>
      <c r="F14" s="6">
        <v>4</v>
      </c>
      <c r="G14" s="6"/>
      <c r="H14" s="46"/>
      <c r="I14" s="4"/>
    </row>
    <row r="15" spans="1:15" ht="25.15" customHeight="1" x14ac:dyDescent="0.2">
      <c r="I15" s="4"/>
      <c r="J15" s="71" t="s">
        <v>33</v>
      </c>
      <c r="K15" s="72"/>
    </row>
    <row r="16" spans="1:15" ht="25.15" customHeight="1" thickBot="1" x14ac:dyDescent="0.25">
      <c r="I16" s="4"/>
      <c r="J16" s="66" t="s">
        <v>34</v>
      </c>
      <c r="K16" s="67"/>
      <c r="L16" s="4"/>
    </row>
    <row r="17" spans="9:12" x14ac:dyDescent="0.2">
      <c r="I17" s="4"/>
      <c r="L17" s="4"/>
    </row>
    <row r="18" spans="9:12" x14ac:dyDescent="0.2">
      <c r="I18" s="4"/>
      <c r="L18" s="4"/>
    </row>
  </sheetData>
  <mergeCells count="7">
    <mergeCell ref="J16:K16"/>
    <mergeCell ref="A1:M1"/>
    <mergeCell ref="J5:K5"/>
    <mergeCell ref="J15:K15"/>
    <mergeCell ref="J11:O11"/>
    <mergeCell ref="J10:O10"/>
    <mergeCell ref="J12:O12"/>
  </mergeCells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G19" sqref="G19"/>
    </sheetView>
  </sheetViews>
  <sheetFormatPr defaultRowHeight="12.75" x14ac:dyDescent="0.2"/>
  <cols>
    <col min="1" max="1" width="19.28515625" customWidth="1"/>
    <col min="2" max="2" width="9.5703125" bestFit="1" customWidth="1"/>
    <col min="3" max="3" width="5" bestFit="1" customWidth="1"/>
    <col min="4" max="5" width="6.140625" bestFit="1" customWidth="1"/>
    <col min="6" max="6" width="11.42578125" bestFit="1" customWidth="1"/>
    <col min="7" max="7" width="12.42578125" bestFit="1" customWidth="1"/>
    <col min="8" max="8" width="12.7109375" bestFit="1" customWidth="1"/>
  </cols>
  <sheetData>
    <row r="1" spans="1:8" ht="15.75" x14ac:dyDescent="0.25">
      <c r="A1" s="80" t="s">
        <v>38</v>
      </c>
      <c r="B1" s="80"/>
      <c r="C1" s="80"/>
      <c r="D1" s="80"/>
      <c r="E1" s="80"/>
      <c r="F1" s="80"/>
      <c r="G1" s="80"/>
      <c r="H1" s="80"/>
    </row>
    <row r="3" spans="1:8" ht="15.75" x14ac:dyDescent="0.25">
      <c r="A3" s="14" t="s">
        <v>0</v>
      </c>
      <c r="B3" s="15">
        <v>0</v>
      </c>
      <c r="C3" s="15">
        <v>0.25</v>
      </c>
      <c r="D3" s="15">
        <v>0.5</v>
      </c>
      <c r="E3" s="15">
        <v>0.75</v>
      </c>
      <c r="F3" s="14" t="s">
        <v>39</v>
      </c>
      <c r="G3" s="14" t="s">
        <v>40</v>
      </c>
      <c r="H3" s="14" t="s">
        <v>1</v>
      </c>
    </row>
    <row r="4" spans="1:8" ht="15.75" x14ac:dyDescent="0.25">
      <c r="A4" s="12" t="s">
        <v>2</v>
      </c>
      <c r="B4" s="17">
        <v>8</v>
      </c>
      <c r="C4" s="17">
        <v>11</v>
      </c>
      <c r="D4" s="17">
        <v>12</v>
      </c>
      <c r="E4" s="17">
        <v>10</v>
      </c>
      <c r="F4" s="12"/>
      <c r="G4" s="12"/>
      <c r="H4" s="12"/>
    </row>
    <row r="5" spans="1:8" ht="15.75" x14ac:dyDescent="0.25">
      <c r="A5" s="12" t="s">
        <v>3</v>
      </c>
      <c r="B5" s="17">
        <v>9</v>
      </c>
      <c r="C5" s="17">
        <v>15</v>
      </c>
      <c r="D5" s="17">
        <v>14</v>
      </c>
      <c r="E5" s="17">
        <v>12</v>
      </c>
      <c r="F5" s="12"/>
      <c r="G5" s="12"/>
      <c r="H5" s="12"/>
    </row>
    <row r="6" spans="1:8" ht="15.75" x14ac:dyDescent="0.25">
      <c r="A6" s="12" t="s">
        <v>4</v>
      </c>
      <c r="B6" s="17">
        <v>11</v>
      </c>
      <c r="C6" s="17">
        <v>14</v>
      </c>
      <c r="D6" s="17">
        <v>11</v>
      </c>
      <c r="E6" s="17">
        <v>9</v>
      </c>
      <c r="F6" s="12"/>
      <c r="G6" s="12"/>
      <c r="H6" s="12"/>
    </row>
    <row r="7" spans="1:8" ht="15.75" x14ac:dyDescent="0.25">
      <c r="A7" s="12" t="s">
        <v>5</v>
      </c>
      <c r="B7" s="17">
        <v>7</v>
      </c>
      <c r="C7" s="17">
        <v>11</v>
      </c>
      <c r="D7" s="17">
        <v>11</v>
      </c>
      <c r="E7" s="17">
        <v>10</v>
      </c>
      <c r="F7" s="12"/>
      <c r="G7" s="12"/>
      <c r="H7" s="12"/>
    </row>
    <row r="8" spans="1:8" ht="15.75" x14ac:dyDescent="0.25">
      <c r="A8" s="12" t="s">
        <v>6</v>
      </c>
      <c r="B8" s="17">
        <v>9</v>
      </c>
      <c r="C8" s="17">
        <v>14</v>
      </c>
      <c r="D8" s="17">
        <v>12</v>
      </c>
      <c r="E8" s="17">
        <v>8</v>
      </c>
      <c r="F8" s="12"/>
      <c r="G8" s="12"/>
      <c r="H8" s="12"/>
    </row>
    <row r="9" spans="1:8" ht="15.75" x14ac:dyDescent="0.25">
      <c r="A9" s="12" t="s">
        <v>7</v>
      </c>
      <c r="B9" s="17">
        <v>5</v>
      </c>
      <c r="C9" s="17">
        <v>10</v>
      </c>
      <c r="D9" s="17">
        <v>9</v>
      </c>
      <c r="E9" s="17">
        <v>8</v>
      </c>
      <c r="F9" s="12"/>
      <c r="G9" s="12"/>
      <c r="H9" s="12"/>
    </row>
    <row r="10" spans="1:8" ht="15.75" x14ac:dyDescent="0.25">
      <c r="A10" s="12" t="s">
        <v>8</v>
      </c>
      <c r="B10" s="17">
        <v>6</v>
      </c>
      <c r="C10" s="17">
        <v>10</v>
      </c>
      <c r="D10" s="17">
        <v>11</v>
      </c>
      <c r="E10" s="17">
        <v>9</v>
      </c>
      <c r="F10" s="12"/>
      <c r="G10" s="12"/>
      <c r="H10" s="12"/>
    </row>
    <row r="12" spans="1:8" ht="31.5" x14ac:dyDescent="0.25">
      <c r="A12" s="16" t="s">
        <v>41</v>
      </c>
      <c r="B12" s="29"/>
      <c r="C12" s="13"/>
    </row>
    <row r="14" spans="1:8" ht="31.5" x14ac:dyDescent="0.25">
      <c r="A14" s="16" t="s">
        <v>200</v>
      </c>
      <c r="B14" s="64">
        <v>10.2143</v>
      </c>
    </row>
    <row r="16" spans="1:8" ht="15.75" x14ac:dyDescent="0.25">
      <c r="A16" s="16" t="s">
        <v>37</v>
      </c>
      <c r="B16" s="65"/>
    </row>
  </sheetData>
  <mergeCells count="1">
    <mergeCell ref="A1:H1"/>
  </mergeCells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D22" sqref="D22"/>
    </sheetView>
  </sheetViews>
  <sheetFormatPr defaultRowHeight="12.75" x14ac:dyDescent="0.2"/>
  <cols>
    <col min="1" max="1" width="28.140625" customWidth="1"/>
  </cols>
  <sheetData>
    <row r="1" spans="1:3" ht="18.75" x14ac:dyDescent="0.3">
      <c r="A1" s="32" t="s">
        <v>135</v>
      </c>
      <c r="B1" s="32"/>
      <c r="C1" s="32"/>
    </row>
    <row r="3" spans="1:3" ht="15.75" thickBot="1" x14ac:dyDescent="0.3">
      <c r="A3" s="33" t="s">
        <v>125</v>
      </c>
      <c r="B3" s="33" t="s">
        <v>126</v>
      </c>
      <c r="C3" s="33" t="s">
        <v>127</v>
      </c>
    </row>
    <row r="4" spans="1:3" ht="15" x14ac:dyDescent="0.25">
      <c r="A4" s="23" t="s">
        <v>128</v>
      </c>
      <c r="B4" s="23">
        <v>24</v>
      </c>
      <c r="C4" s="23">
        <v>6</v>
      </c>
    </row>
    <row r="5" spans="1:3" ht="15" x14ac:dyDescent="0.25">
      <c r="A5" s="23" t="s">
        <v>129</v>
      </c>
      <c r="B5" s="23">
        <v>23</v>
      </c>
      <c r="C5" s="23">
        <v>6</v>
      </c>
    </row>
    <row r="6" spans="1:3" ht="15" x14ac:dyDescent="0.25">
      <c r="A6" s="23" t="s">
        <v>130</v>
      </c>
      <c r="B6" s="23">
        <v>22</v>
      </c>
      <c r="C6" s="23">
        <v>4</v>
      </c>
    </row>
    <row r="7" spans="1:3" ht="15" x14ac:dyDescent="0.25">
      <c r="A7" s="23" t="s">
        <v>131</v>
      </c>
      <c r="B7" s="23">
        <v>21</v>
      </c>
      <c r="C7" s="23">
        <v>8</v>
      </c>
    </row>
    <row r="8" spans="1:3" ht="15" x14ac:dyDescent="0.25">
      <c r="A8" s="23" t="s">
        <v>132</v>
      </c>
      <c r="B8" s="23">
        <v>19</v>
      </c>
      <c r="C8" s="23">
        <v>9</v>
      </c>
    </row>
    <row r="9" spans="1:3" ht="15" x14ac:dyDescent="0.25">
      <c r="A9" s="23" t="s">
        <v>133</v>
      </c>
      <c r="B9" s="23">
        <v>18</v>
      </c>
      <c r="C9" s="23">
        <v>8</v>
      </c>
    </row>
    <row r="10" spans="1:3" ht="15" x14ac:dyDescent="0.25">
      <c r="A10" s="23" t="s">
        <v>134</v>
      </c>
      <c r="B10" s="23">
        <v>17</v>
      </c>
      <c r="C10" s="23">
        <v>12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view="pageLayout" zoomScaleNormal="100" workbookViewId="0">
      <selection activeCell="B7" sqref="B7"/>
    </sheetView>
  </sheetViews>
  <sheetFormatPr defaultRowHeight="12.75" x14ac:dyDescent="0.2"/>
  <cols>
    <col min="1" max="1" width="15.42578125" bestFit="1" customWidth="1"/>
    <col min="2" max="2" width="35.85546875" bestFit="1" customWidth="1"/>
    <col min="3" max="4" width="37.85546875" bestFit="1" customWidth="1"/>
  </cols>
  <sheetData>
    <row r="1" spans="1:4" ht="23.25" x14ac:dyDescent="0.35">
      <c r="A1" s="34" t="s">
        <v>149</v>
      </c>
      <c r="B1" s="34" t="s">
        <v>150</v>
      </c>
      <c r="C1" s="31"/>
      <c r="D1" s="31"/>
    </row>
    <row r="2" spans="1:4" ht="24" thickBot="1" x14ac:dyDescent="0.4">
      <c r="A2" s="36" t="s">
        <v>151</v>
      </c>
      <c r="B2" s="36" t="s">
        <v>152</v>
      </c>
      <c r="C2" s="35"/>
      <c r="D2" s="35"/>
    </row>
    <row r="3" spans="1:4" ht="28.5" thickBot="1" x14ac:dyDescent="0.4">
      <c r="A3" s="37"/>
      <c r="B3" s="38"/>
      <c r="C3" s="40" t="s">
        <v>136</v>
      </c>
      <c r="D3" s="40" t="s">
        <v>137</v>
      </c>
    </row>
    <row r="4" spans="1:4" ht="24" thickBot="1" x14ac:dyDescent="0.4">
      <c r="A4" s="39" t="s">
        <v>138</v>
      </c>
      <c r="B4" s="39" t="s">
        <v>139</v>
      </c>
      <c r="C4" s="39" t="s">
        <v>140</v>
      </c>
      <c r="D4" s="39" t="s">
        <v>140</v>
      </c>
    </row>
    <row r="5" spans="1:4" ht="24" thickBot="1" x14ac:dyDescent="0.4">
      <c r="A5" s="38">
        <v>1</v>
      </c>
      <c r="B5" s="41" t="s">
        <v>141</v>
      </c>
      <c r="C5" s="38">
        <v>16</v>
      </c>
      <c r="D5" s="38">
        <v>18</v>
      </c>
    </row>
    <row r="6" spans="1:4" ht="24" thickBot="1" x14ac:dyDescent="0.4">
      <c r="A6" s="38">
        <v>2</v>
      </c>
      <c r="B6" s="41" t="s">
        <v>142</v>
      </c>
      <c r="C6" s="38">
        <v>13</v>
      </c>
      <c r="D6" s="38">
        <v>18</v>
      </c>
    </row>
    <row r="7" spans="1:4" ht="24" thickBot="1" x14ac:dyDescent="0.4">
      <c r="A7" s="38">
        <v>3</v>
      </c>
      <c r="B7" s="41" t="s">
        <v>143</v>
      </c>
      <c r="C7" s="38">
        <v>12</v>
      </c>
      <c r="D7" s="38">
        <v>15</v>
      </c>
    </row>
    <row r="8" spans="1:4" ht="24" thickBot="1" x14ac:dyDescent="0.4">
      <c r="A8" s="38">
        <v>4</v>
      </c>
      <c r="B8" s="41" t="s">
        <v>144</v>
      </c>
      <c r="C8" s="38">
        <v>19</v>
      </c>
      <c r="D8" s="38">
        <v>17</v>
      </c>
    </row>
    <row r="9" spans="1:4" ht="24" thickBot="1" x14ac:dyDescent="0.4">
      <c r="A9" s="38">
        <v>5</v>
      </c>
      <c r="B9" s="41" t="s">
        <v>145</v>
      </c>
      <c r="C9" s="38">
        <v>16</v>
      </c>
      <c r="D9" s="38">
        <v>15</v>
      </c>
    </row>
    <row r="10" spans="1:4" ht="24" thickBot="1" x14ac:dyDescent="0.4">
      <c r="A10" s="38">
        <v>6</v>
      </c>
      <c r="B10" s="41" t="s">
        <v>146</v>
      </c>
      <c r="C10" s="38">
        <v>16</v>
      </c>
      <c r="D10" s="38">
        <v>14</v>
      </c>
    </row>
    <row r="11" spans="1:4" ht="24" thickBot="1" x14ac:dyDescent="0.4">
      <c r="A11" s="38">
        <v>7</v>
      </c>
      <c r="B11" s="41" t="s">
        <v>147</v>
      </c>
      <c r="C11" s="38">
        <v>9</v>
      </c>
      <c r="D11" s="38">
        <v>15</v>
      </c>
    </row>
    <row r="12" spans="1:4" ht="24" thickBot="1" x14ac:dyDescent="0.4">
      <c r="A12" s="38">
        <v>8</v>
      </c>
      <c r="B12" s="41" t="s">
        <v>148</v>
      </c>
      <c r="C12" s="38">
        <v>13</v>
      </c>
      <c r="D12" s="38">
        <v>11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tabSelected="1" view="pageBreakPreview" zoomScaleNormal="100" zoomScaleSheetLayoutView="100" workbookViewId="0">
      <selection activeCell="J15" sqref="J15"/>
    </sheetView>
  </sheetViews>
  <sheetFormatPr defaultColWidth="9.140625" defaultRowHeight="15" x14ac:dyDescent="0.25"/>
  <cols>
    <col min="1" max="1" width="4.7109375" style="47" customWidth="1"/>
    <col min="2" max="2" width="4.85546875" style="47" customWidth="1"/>
    <col min="3" max="3" width="9.140625" style="47"/>
    <col min="4" max="4" width="9.7109375" style="47" customWidth="1"/>
    <col min="5" max="5" width="10.140625" style="47" customWidth="1"/>
    <col min="6" max="12" width="9.140625" style="47"/>
    <col min="13" max="13" width="9.5703125" style="47" bestFit="1" customWidth="1"/>
    <col min="14" max="14" width="9.7109375" style="47" customWidth="1"/>
    <col min="15" max="16384" width="9.140625" style="47"/>
  </cols>
  <sheetData>
    <row r="1" spans="1:14" ht="26.25" x14ac:dyDescent="0.4">
      <c r="A1" s="83" t="s">
        <v>153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5"/>
    </row>
    <row r="2" spans="1:14" ht="16.5" thickBot="1" x14ac:dyDescent="0.3">
      <c r="A2" s="86" t="s">
        <v>154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7"/>
    </row>
    <row r="3" spans="1:14" ht="15.75" x14ac:dyDescent="0.25">
      <c r="A3" s="88" t="s">
        <v>155</v>
      </c>
      <c r="B3" s="89"/>
      <c r="C3" s="89"/>
      <c r="D3" s="89"/>
      <c r="E3" s="89"/>
      <c r="L3" s="50" t="s">
        <v>156</v>
      </c>
      <c r="M3" s="97">
        <f>SUM(A13:A47)</f>
        <v>0</v>
      </c>
      <c r="N3" s="51"/>
    </row>
    <row r="4" spans="1:14" ht="15.75" x14ac:dyDescent="0.25">
      <c r="A4" s="88" t="s">
        <v>157</v>
      </c>
      <c r="B4" s="89"/>
      <c r="C4" s="89"/>
      <c r="D4" s="89"/>
      <c r="E4" s="89"/>
      <c r="M4" s="98"/>
      <c r="N4" s="51"/>
    </row>
    <row r="5" spans="1:14" ht="15.75" x14ac:dyDescent="0.25">
      <c r="A5" s="88" t="s">
        <v>158</v>
      </c>
      <c r="B5" s="89"/>
      <c r="C5" s="89"/>
      <c r="D5" s="89"/>
      <c r="E5" s="89"/>
      <c r="M5" s="90">
        <v>20</v>
      </c>
      <c r="N5" s="51"/>
    </row>
    <row r="6" spans="1:14" ht="15.75" thickBot="1" x14ac:dyDescent="0.3">
      <c r="A6" s="52"/>
      <c r="M6" s="91"/>
      <c r="N6" s="51"/>
    </row>
    <row r="7" spans="1:14" ht="15.75" x14ac:dyDescent="0.25">
      <c r="A7" s="48" t="s">
        <v>159</v>
      </c>
      <c r="G7" s="50" t="s">
        <v>210</v>
      </c>
      <c r="H7" s="49"/>
      <c r="N7" s="51"/>
    </row>
    <row r="8" spans="1:14" ht="16.5" thickBot="1" x14ac:dyDescent="0.3">
      <c r="A8" s="53" t="s">
        <v>202</v>
      </c>
      <c r="B8" s="54"/>
      <c r="C8" s="54"/>
      <c r="D8" s="54"/>
      <c r="E8" s="54"/>
      <c r="F8" s="54"/>
      <c r="G8" s="55" t="s">
        <v>209</v>
      </c>
      <c r="H8" s="54"/>
      <c r="I8" s="54"/>
      <c r="J8" s="55" t="s">
        <v>160</v>
      </c>
      <c r="K8" s="54"/>
      <c r="L8" s="55" t="s">
        <v>161</v>
      </c>
      <c r="M8" s="54"/>
      <c r="N8" s="56"/>
    </row>
    <row r="9" spans="1:14" ht="9.75" customHeight="1" x14ac:dyDescent="0.25"/>
    <row r="10" spans="1:14" ht="15.75" x14ac:dyDescent="0.25">
      <c r="A10" s="81" t="s">
        <v>162</v>
      </c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</row>
    <row r="11" spans="1:14" ht="15.75" x14ac:dyDescent="0.25">
      <c r="A11" s="82" t="s">
        <v>163</v>
      </c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</row>
    <row r="12" spans="1:14" ht="20.100000000000001" customHeight="1" x14ac:dyDescent="0.25">
      <c r="A12" s="62"/>
      <c r="B12" s="49" t="s">
        <v>164</v>
      </c>
    </row>
    <row r="13" spans="1:14" ht="20.100000000000001" customHeight="1" x14ac:dyDescent="0.25">
      <c r="A13" s="92"/>
      <c r="B13" s="49" t="s">
        <v>165</v>
      </c>
    </row>
    <row r="14" spans="1:14" ht="20.100000000000001" customHeight="1" x14ac:dyDescent="0.25">
      <c r="A14" s="92"/>
      <c r="B14" s="49" t="s">
        <v>166</v>
      </c>
    </row>
    <row r="15" spans="1:14" ht="20.100000000000001" customHeight="1" x14ac:dyDescent="0.25">
      <c r="A15" s="93"/>
      <c r="B15" s="50" t="s">
        <v>167</v>
      </c>
      <c r="C15" s="50"/>
      <c r="D15" s="50"/>
      <c r="E15" s="57" t="s">
        <v>168</v>
      </c>
      <c r="F15" s="50"/>
      <c r="G15" s="50" t="s">
        <v>169</v>
      </c>
      <c r="H15" s="50"/>
      <c r="I15" s="50"/>
      <c r="J15" s="49"/>
    </row>
    <row r="16" spans="1:14" ht="20.100000000000001" customHeight="1" x14ac:dyDescent="0.25">
      <c r="A16" s="93"/>
      <c r="B16" s="50" t="s">
        <v>170</v>
      </c>
      <c r="C16" s="50"/>
      <c r="D16" s="50"/>
      <c r="E16" s="50"/>
      <c r="F16" s="50"/>
      <c r="G16" s="50" t="s">
        <v>171</v>
      </c>
      <c r="H16" s="50"/>
      <c r="I16" s="50"/>
      <c r="J16" s="49"/>
    </row>
    <row r="17" spans="1:2" ht="20.100000000000001" customHeight="1" x14ac:dyDescent="0.25">
      <c r="A17" s="92"/>
      <c r="B17" s="49" t="s">
        <v>172</v>
      </c>
    </row>
    <row r="18" spans="1:2" ht="20.100000000000001" customHeight="1" x14ac:dyDescent="0.25">
      <c r="A18" s="92"/>
      <c r="B18" s="49" t="s">
        <v>173</v>
      </c>
    </row>
    <row r="19" spans="1:2" ht="20.100000000000001" customHeight="1" x14ac:dyDescent="0.25">
      <c r="A19" s="93"/>
      <c r="B19" s="49" t="s">
        <v>174</v>
      </c>
    </row>
    <row r="20" spans="1:2" ht="20.100000000000001" customHeight="1" x14ac:dyDescent="0.25">
      <c r="A20" s="92"/>
      <c r="B20" s="49" t="s">
        <v>175</v>
      </c>
    </row>
    <row r="21" spans="1:2" ht="20.100000000000001" customHeight="1" x14ac:dyDescent="0.25">
      <c r="A21" s="92"/>
      <c r="B21" s="49" t="s">
        <v>176</v>
      </c>
    </row>
    <row r="22" spans="1:2" ht="20.100000000000001" customHeight="1" x14ac:dyDescent="0.25">
      <c r="A22" s="92"/>
      <c r="B22" s="49" t="s">
        <v>177</v>
      </c>
    </row>
    <row r="23" spans="1:2" ht="20.100000000000001" customHeight="1" x14ac:dyDescent="0.25">
      <c r="A23" s="92"/>
      <c r="B23" s="49" t="s">
        <v>178</v>
      </c>
    </row>
    <row r="24" spans="1:2" ht="20.100000000000001" customHeight="1" x14ac:dyDescent="0.25">
      <c r="A24" s="92"/>
      <c r="B24" s="49" t="s">
        <v>179</v>
      </c>
    </row>
    <row r="25" spans="1:2" ht="20.100000000000001" customHeight="1" x14ac:dyDescent="0.25">
      <c r="A25" s="92"/>
      <c r="B25" s="49" t="s">
        <v>180</v>
      </c>
    </row>
    <row r="26" spans="1:2" ht="20.100000000000001" customHeight="1" x14ac:dyDescent="0.25">
      <c r="A26" s="94"/>
      <c r="B26" s="50" t="s">
        <v>181</v>
      </c>
    </row>
    <row r="27" spans="1:2" ht="20.100000000000001" customHeight="1" x14ac:dyDescent="0.25">
      <c r="A27" s="92"/>
      <c r="B27" s="49" t="s">
        <v>182</v>
      </c>
    </row>
    <row r="28" spans="1:2" ht="20.100000000000001" customHeight="1" x14ac:dyDescent="0.25">
      <c r="A28" s="93"/>
      <c r="B28" s="49" t="s">
        <v>183</v>
      </c>
    </row>
    <row r="29" spans="1:2" ht="20.100000000000001" customHeight="1" x14ac:dyDescent="0.25">
      <c r="A29" s="92"/>
      <c r="B29" s="49" t="s">
        <v>184</v>
      </c>
    </row>
    <row r="30" spans="1:2" ht="20.100000000000001" customHeight="1" x14ac:dyDescent="0.25">
      <c r="A30" s="95"/>
      <c r="B30" s="63" t="s">
        <v>199</v>
      </c>
    </row>
    <row r="31" spans="1:2" ht="20.100000000000001" customHeight="1" x14ac:dyDescent="0.25">
      <c r="A31" s="93"/>
      <c r="B31" s="49" t="s">
        <v>205</v>
      </c>
    </row>
    <row r="32" spans="1:2" ht="20.100000000000001" customHeight="1" x14ac:dyDescent="0.25">
      <c r="A32" s="92"/>
      <c r="B32" s="49" t="s">
        <v>185</v>
      </c>
    </row>
    <row r="33" spans="1:13" ht="20.100000000000001" customHeight="1" x14ac:dyDescent="0.25">
      <c r="A33" s="94"/>
      <c r="B33" s="49" t="s">
        <v>206</v>
      </c>
    </row>
    <row r="34" spans="1:13" ht="20.100000000000001" customHeight="1" x14ac:dyDescent="0.25">
      <c r="A34" s="92"/>
      <c r="B34" s="49" t="s">
        <v>186</v>
      </c>
    </row>
    <row r="35" spans="1:13" ht="20.100000000000001" customHeight="1" x14ac:dyDescent="0.25">
      <c r="A35" s="95"/>
      <c r="B35" s="49" t="s">
        <v>187</v>
      </c>
    </row>
    <row r="36" spans="1:13" ht="20.100000000000001" customHeight="1" x14ac:dyDescent="0.25">
      <c r="A36" s="93"/>
      <c r="B36" s="49" t="s">
        <v>201</v>
      </c>
    </row>
    <row r="37" spans="1:13" ht="20.100000000000001" customHeight="1" x14ac:dyDescent="0.25">
      <c r="A37" s="96"/>
      <c r="B37" s="50" t="s">
        <v>207</v>
      </c>
    </row>
    <row r="38" spans="1:13" ht="20.100000000000001" customHeight="1" x14ac:dyDescent="0.25">
      <c r="A38" s="92"/>
      <c r="B38" s="49" t="s">
        <v>188</v>
      </c>
    </row>
    <row r="39" spans="1:13" ht="20.100000000000001" customHeight="1" x14ac:dyDescent="0.25">
      <c r="A39" s="94"/>
      <c r="B39" s="50" t="s">
        <v>208</v>
      </c>
    </row>
    <row r="40" spans="1:13" ht="20.100000000000001" customHeight="1" x14ac:dyDescent="0.25">
      <c r="A40" s="92"/>
      <c r="B40" s="49" t="s">
        <v>189</v>
      </c>
    </row>
    <row r="41" spans="1:13" ht="20.100000000000001" customHeight="1" x14ac:dyDescent="0.25">
      <c r="A41" s="93"/>
      <c r="B41" s="49" t="s">
        <v>190</v>
      </c>
    </row>
    <row r="42" spans="1:13" ht="20.100000000000001" customHeight="1" x14ac:dyDescent="0.25">
      <c r="A42" s="92"/>
      <c r="B42" s="58" t="s">
        <v>191</v>
      </c>
    </row>
    <row r="43" spans="1:13" ht="20.100000000000001" customHeight="1" x14ac:dyDescent="0.25">
      <c r="A43" s="93"/>
      <c r="B43" s="58" t="s">
        <v>192</v>
      </c>
    </row>
    <row r="44" spans="1:13" ht="20.100000000000001" customHeight="1" x14ac:dyDescent="0.25">
      <c r="A44" s="92"/>
      <c r="B44" s="58" t="s">
        <v>193</v>
      </c>
    </row>
    <row r="45" spans="1:13" ht="20.100000000000001" customHeight="1" x14ac:dyDescent="0.25">
      <c r="A45" s="93"/>
      <c r="B45" s="58" t="s">
        <v>194</v>
      </c>
    </row>
    <row r="46" spans="1:13" ht="20.100000000000001" customHeight="1" x14ac:dyDescent="0.25">
      <c r="A46" s="92"/>
      <c r="B46" s="58" t="s">
        <v>195</v>
      </c>
    </row>
    <row r="47" spans="1:13" ht="20.100000000000001" customHeight="1" x14ac:dyDescent="0.25">
      <c r="A47" s="92"/>
      <c r="B47" s="57" t="s">
        <v>196</v>
      </c>
    </row>
    <row r="48" spans="1:13" ht="19.5" customHeight="1" x14ac:dyDescent="0.25">
      <c r="A48" s="61"/>
      <c r="B48" s="59" t="s">
        <v>197</v>
      </c>
      <c r="M48" s="60" t="s">
        <v>198</v>
      </c>
    </row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</sheetData>
  <sheetProtection sheet="1" objects="1" scenarios="1" selectLockedCells="1" selectUnlockedCells="1"/>
  <mergeCells count="9">
    <mergeCell ref="A10:N10"/>
    <mergeCell ref="A11:N11"/>
    <mergeCell ref="A1:N1"/>
    <mergeCell ref="A2:N2"/>
    <mergeCell ref="A3:E3"/>
    <mergeCell ref="M3:M4"/>
    <mergeCell ref="A4:E4"/>
    <mergeCell ref="A5:E5"/>
    <mergeCell ref="M5:M6"/>
  </mergeCells>
  <pageMargins left="0.31496062992125984" right="0.31496062992125984" top="0.31496062992125984" bottom="0.31496062992125984" header="0.31496062992125984" footer="0.31496062992125984"/>
  <pageSetup paperSize="9" scale="81" fitToHeight="0" orientation="portrait" r:id="rId1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Μορφοποίηση</vt:lpstr>
      <vt:lpstr>Στήλες και Γραμμές</vt:lpstr>
      <vt:lpstr>Αριθμοί</vt:lpstr>
      <vt:lpstr>Τύποι</vt:lpstr>
      <vt:lpstr>Συναρτήσεις</vt:lpstr>
      <vt:lpstr>Γραφήματα</vt:lpstr>
      <vt:lpstr>Γενικά</vt:lpstr>
      <vt:lpstr>Βαθμός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elina</cp:lastModifiedBy>
  <cp:lastPrinted>2024-11-07T08:21:36Z</cp:lastPrinted>
  <dcterms:created xsi:type="dcterms:W3CDTF">1996-10-14T23:33:28Z</dcterms:created>
  <dcterms:modified xsi:type="dcterms:W3CDTF">2025-12-17T08:57:56Z</dcterms:modified>
</cp:coreProperties>
</file>